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تحكم العامة" sheetId="1" state="visible" r:id="rId1"/>
    <sheet name="المندوبين والمحافظات" sheetId="2" state="visible" r:id="rId2"/>
    <sheet name="المواد والأسعار" sheetId="3" state="visible" r:id="rId3"/>
    <sheet name="تارجت المحافظات" sheetId="4" state="visible" r:id="rId4"/>
    <sheet name="سجلات الكوت" sheetId="5" state="visible" r:id="rId5"/>
    <sheet name="سجلات العمارة" sheetId="6" state="visible" r:id="rId6"/>
    <sheet name="سجلات البصرة" sheetId="7" state="visible" r:id="rId7"/>
    <sheet name="سجلات الناصري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د.ع&quot;"/>
    <numFmt numFmtId="165" formatCode="#,##0 &quot;قطعة&quot;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F766E"/>
      <sz val="14"/>
    </font>
    <font>
      <name val="Arial"/>
      <i val="1"/>
      <color rgb="0064748B"/>
      <sz val="9"/>
    </font>
    <font>
      <name val="Arial"/>
      <b val="1"/>
      <color rgb="00475569"/>
      <sz val="10"/>
    </font>
    <font>
      <name val="Arial"/>
      <b val="1"/>
      <color rgb="000F766E"/>
      <sz val="13"/>
    </font>
    <font>
      <name val="Arial"/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CCFBF1"/>
        <bgColor rgb="00CCFBF1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766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65" fontId="3" fillId="0" borderId="2" applyAlignment="1" pivotButton="0" quotePrefix="0" xfId="0">
      <alignment horizontal="center" vertical="center" wrapText="1"/>
    </xf>
    <xf numFmtId="164" fontId="3" fillId="7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left" vertical="center"/>
    </xf>
    <xf numFmtId="166" fontId="3" fillId="5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6" fontId="3" fillId="3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166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6" fontId="2" fillId="0" borderId="1" pivotButton="0" quotePrefix="0" xfId="0"/>
    <xf numFmtId="3" fontId="3" fillId="0" borderId="2" applyAlignment="1" pivotButton="0" quotePrefix="0" xfId="0">
      <alignment horizontal="center" vertical="center" wrapText="1"/>
    </xf>
    <xf numFmtId="164" fontId="3" fillId="7" borderId="2" pivotButton="0" quotePrefix="0" xfId="0"/>
    <xf numFmtId="164" fontId="3" fillId="0" borderId="2" pivotButton="0" quotePrefix="0" xfId="0"/>
    <xf numFmtId="166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25" customWidth="1" min="3" max="3"/>
    <col width="28" customWidth="1" min="4" max="4"/>
    <col width="27" customWidth="1" min="5" max="5"/>
    <col width="19" customWidth="1" min="6" max="6"/>
    <col width="15" customWidth="1" min="7" max="7"/>
  </cols>
  <sheetData>
    <row r="1" ht="36" customHeight="1">
      <c r="A1" s="1" t="inlineStr">
        <is>
          <t>نظام نبع الغدير العلمي — لوحة متابعة المندوبين والمحافظات</t>
        </is>
      </c>
    </row>
    <row r="2"/>
    <row r="3" ht="26" customHeight="1">
      <c r="A3" s="2" t="inlineStr">
        <is>
          <t>المحافظة</t>
        </is>
      </c>
      <c r="B3" s="2" t="inlineStr">
        <is>
          <t>عدد المندوبين</t>
        </is>
      </c>
      <c r="C3" s="2" t="inlineStr">
        <is>
          <t>إجمالي القطع المباعة</t>
        </is>
      </c>
      <c r="D3" s="2" t="inlineStr">
        <is>
          <t>إجمالي المبيعات المحققة</t>
        </is>
      </c>
      <c r="E3" s="2" t="inlineStr">
        <is>
          <t>الهدف الشهري (التارغت)</t>
        </is>
      </c>
      <c r="F3" s="2" t="inlineStr">
        <is>
          <t>نسبة الإنجاز %</t>
        </is>
      </c>
      <c r="G3" s="2" t="inlineStr">
        <is>
          <t>الحالة</t>
        </is>
      </c>
    </row>
    <row r="4" ht="24" customHeight="1">
      <c r="A4" s="3" t="inlineStr">
        <is>
          <t>الكوت</t>
        </is>
      </c>
      <c r="B4" s="4" t="n">
        <v>8</v>
      </c>
      <c r="C4" s="5">
        <f>'سجلات الكوت'!E2</f>
        <v/>
      </c>
      <c r="D4" s="6">
        <f>'سجلات الكوت'!D2</f>
        <v/>
      </c>
      <c r="E4" s="7" t="n">
        <v>25000000</v>
      </c>
      <c r="F4" s="8">
        <f>IF(E4&gt;0, D4/E4, 0)</f>
        <v/>
      </c>
      <c r="G4" s="3">
        <f>IF(F4&gt;=1, "محقق بنجاح 🎯", IF(F4&gt;=0.5, "قيد الإنجاز ⚡", "متأخر عن الخطة ⚠️"))</f>
        <v/>
      </c>
    </row>
    <row r="5" ht="24" customHeight="1">
      <c r="A5" s="9" t="inlineStr">
        <is>
          <t>العمارة</t>
        </is>
      </c>
      <c r="B5" s="10" t="n">
        <v>8</v>
      </c>
      <c r="C5" s="11">
        <f>'سجلات العمارة'!E2</f>
        <v/>
      </c>
      <c r="D5" s="12">
        <f>'سجلات العمارة'!D2</f>
        <v/>
      </c>
      <c r="E5" s="13" t="n">
        <v>20000000</v>
      </c>
      <c r="F5" s="8">
        <f>IF(E5&gt;0, D5/E5, 0)</f>
        <v/>
      </c>
      <c r="G5" s="9">
        <f>IF(F5&gt;=1, "محقق بنجاح 🎯", IF(F5&gt;=0.5, "قيد الإنجاز ⚡", "متأخر عن الخطة ⚠️"))</f>
        <v/>
      </c>
    </row>
    <row r="6" ht="24" customHeight="1">
      <c r="A6" s="3" t="inlineStr">
        <is>
          <t>البصرة</t>
        </is>
      </c>
      <c r="B6" s="4" t="n">
        <v>8</v>
      </c>
      <c r="C6" s="5">
        <f>'سجلات البصرة'!E2</f>
        <v/>
      </c>
      <c r="D6" s="6">
        <f>'سجلات البصرة'!D2</f>
        <v/>
      </c>
      <c r="E6" s="7" t="n">
        <v>35000000</v>
      </c>
      <c r="F6" s="8">
        <f>IF(E6&gt;0, D6/E6, 0)</f>
        <v/>
      </c>
      <c r="G6" s="3">
        <f>IF(F6&gt;=1, "محقق بنجاح 🎯", IF(F6&gt;=0.5, "قيد الإنجاز ⚡", "متأخر عن الخطة ⚠️"))</f>
        <v/>
      </c>
    </row>
    <row r="7" ht="24" customHeight="1">
      <c r="A7" s="9" t="inlineStr">
        <is>
          <t>الناصرية</t>
        </is>
      </c>
      <c r="B7" s="10" t="n">
        <v>8</v>
      </c>
      <c r="C7" s="11">
        <f>'سجلات الناصرية'!E2</f>
        <v/>
      </c>
      <c r="D7" s="12">
        <f>'سجلات الناصرية'!D2</f>
        <v/>
      </c>
      <c r="E7" s="13" t="n">
        <v>22000000</v>
      </c>
      <c r="F7" s="8">
        <f>IF(E7&gt;0, D7/E7, 0)</f>
        <v/>
      </c>
      <c r="G7" s="9">
        <f>IF(F7&gt;=1, "محقق بنجاح 🎯", IF(F7&gt;=0.5, "قيد الإنجاز ⚡", "متأخر عن الخطة ⚠️"))</f>
        <v/>
      </c>
    </row>
    <row r="8" ht="28" customHeight="1">
      <c r="A8" s="14" t="inlineStr">
        <is>
          <t>المجموع الكلي لجميع المحافظات</t>
        </is>
      </c>
      <c r="B8" s="15" t="n"/>
      <c r="C8" s="16">
        <f>SUM(C4:C7)</f>
        <v/>
      </c>
      <c r="D8" s="17">
        <f>SUM(D4:D7)</f>
        <v/>
      </c>
      <c r="E8" s="18">
        <f>SUM(E4:E7)</f>
        <v/>
      </c>
      <c r="F8" s="19">
        <f>IF(E8&gt;0, D8/E8, 0)</f>
        <v/>
      </c>
      <c r="G8" s="14">
        <f>IF(F8&gt;=1, "إجمالي ممتاز", "متابعة مستمرة")</f>
        <v/>
      </c>
    </row>
  </sheetData>
  <mergeCells count="2">
    <mergeCell ref="A8:B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7" customWidth="1" min="4" max="4"/>
  </cols>
  <sheetData>
    <row r="1" ht="28" customHeight="1">
      <c r="A1" s="20" t="inlineStr">
        <is>
          <t>المحافظة</t>
        </is>
      </c>
      <c r="B1" s="20" t="inlineStr">
        <is>
          <t>المندوب</t>
        </is>
      </c>
      <c r="C1" s="20" t="inlineStr">
        <is>
          <t>كود المندوب</t>
        </is>
      </c>
      <c r="D1" s="20" t="inlineStr">
        <is>
          <t>ملاحظات</t>
        </is>
      </c>
    </row>
    <row r="2" ht="22" customHeight="1">
      <c r="A2" s="21" t="inlineStr">
        <is>
          <t>الكوت</t>
        </is>
      </c>
      <c r="B2" s="22" t="inlineStr">
        <is>
          <t>مذخر الكوت مباشر</t>
        </is>
      </c>
      <c r="C2" s="21" t="inlineStr">
        <is>
          <t>KUT-DIR</t>
        </is>
      </c>
      <c r="D2" s="22" t="inlineStr">
        <is>
          <t>توزيع مباشر</t>
        </is>
      </c>
    </row>
    <row r="3" ht="22" customHeight="1">
      <c r="A3" s="23" t="inlineStr">
        <is>
          <t>الكوت</t>
        </is>
      </c>
      <c r="B3" s="24" t="inlineStr">
        <is>
          <t>1-Kut</t>
        </is>
      </c>
      <c r="C3" s="23" t="inlineStr">
        <is>
          <t>KUT-01</t>
        </is>
      </c>
      <c r="D3" s="24" t="inlineStr">
        <is>
          <t>مندوب منطقة الكوت 1</t>
        </is>
      </c>
    </row>
    <row r="4" ht="22" customHeight="1">
      <c r="A4" s="21" t="inlineStr">
        <is>
          <t>الكوت</t>
        </is>
      </c>
      <c r="B4" s="22" t="inlineStr">
        <is>
          <t>2-Kut</t>
        </is>
      </c>
      <c r="C4" s="21" t="inlineStr">
        <is>
          <t>KUT-02</t>
        </is>
      </c>
      <c r="D4" s="22" t="inlineStr">
        <is>
          <t>مندوب منطقة الكوت 2</t>
        </is>
      </c>
    </row>
    <row r="5" ht="22" customHeight="1">
      <c r="A5" s="23" t="inlineStr">
        <is>
          <t>الكوت</t>
        </is>
      </c>
      <c r="B5" s="24" t="inlineStr">
        <is>
          <t>3-Kut</t>
        </is>
      </c>
      <c r="C5" s="23" t="inlineStr">
        <is>
          <t>KUT-03</t>
        </is>
      </c>
      <c r="D5" s="24" t="inlineStr">
        <is>
          <t>مندوب منطقة الكوت 3</t>
        </is>
      </c>
    </row>
    <row r="6" ht="22" customHeight="1">
      <c r="A6" s="21" t="inlineStr">
        <is>
          <t>الكوت</t>
        </is>
      </c>
      <c r="B6" s="22" t="inlineStr">
        <is>
          <t>4-Kut</t>
        </is>
      </c>
      <c r="C6" s="21" t="inlineStr">
        <is>
          <t>KUT-04</t>
        </is>
      </c>
      <c r="D6" s="22" t="inlineStr">
        <is>
          <t>مندوب منطقة الكوت 4</t>
        </is>
      </c>
    </row>
    <row r="7" ht="22" customHeight="1">
      <c r="A7" s="23" t="inlineStr">
        <is>
          <t>الكوت</t>
        </is>
      </c>
      <c r="B7" s="24" t="inlineStr">
        <is>
          <t>5-Kut</t>
        </is>
      </c>
      <c r="C7" s="23" t="inlineStr">
        <is>
          <t>KUT-05</t>
        </is>
      </c>
      <c r="D7" s="24" t="inlineStr">
        <is>
          <t>مندوب منطقة الكوت 5</t>
        </is>
      </c>
    </row>
    <row r="8" ht="22" customHeight="1">
      <c r="A8" s="21" t="inlineStr">
        <is>
          <t>الكوت</t>
        </is>
      </c>
      <c r="B8" s="22" t="inlineStr">
        <is>
          <t>6-Kut</t>
        </is>
      </c>
      <c r="C8" s="21" t="inlineStr">
        <is>
          <t>KUT-06</t>
        </is>
      </c>
      <c r="D8" s="22" t="inlineStr">
        <is>
          <t>مندوب منطقة الكوت 6</t>
        </is>
      </c>
    </row>
    <row r="9" ht="22" customHeight="1">
      <c r="A9" s="23" t="inlineStr">
        <is>
          <t>الكوت</t>
        </is>
      </c>
      <c r="B9" s="24" t="inlineStr">
        <is>
          <t>7-Kut</t>
        </is>
      </c>
      <c r="C9" s="23" t="inlineStr">
        <is>
          <t>KUT-07</t>
        </is>
      </c>
      <c r="D9" s="24" t="inlineStr">
        <is>
          <t>مندوب منطقة الكوت 7</t>
        </is>
      </c>
    </row>
    <row r="10" ht="22" customHeight="1">
      <c r="A10" s="21" t="inlineStr">
        <is>
          <t>العمارة</t>
        </is>
      </c>
      <c r="B10" s="22" t="inlineStr">
        <is>
          <t>مذخر العمارة مباشر</t>
        </is>
      </c>
      <c r="C10" s="21" t="inlineStr">
        <is>
          <t>AMR-DIR</t>
        </is>
      </c>
      <c r="D10" s="22" t="inlineStr">
        <is>
          <t>توزيع مباشر</t>
        </is>
      </c>
    </row>
    <row r="11" ht="22" customHeight="1">
      <c r="A11" s="23" t="inlineStr">
        <is>
          <t>العمارة</t>
        </is>
      </c>
      <c r="B11" s="24" t="inlineStr">
        <is>
          <t>1-Amara</t>
        </is>
      </c>
      <c r="C11" s="23" t="inlineStr">
        <is>
          <t>AMR-01</t>
        </is>
      </c>
      <c r="D11" s="24" t="inlineStr">
        <is>
          <t>مندوب منطقة العمارة 1</t>
        </is>
      </c>
    </row>
    <row r="12" ht="22" customHeight="1">
      <c r="A12" s="21" t="inlineStr">
        <is>
          <t>العمارة</t>
        </is>
      </c>
      <c r="B12" s="22" t="inlineStr">
        <is>
          <t>2-Amara</t>
        </is>
      </c>
      <c r="C12" s="21" t="inlineStr">
        <is>
          <t>AMR-02</t>
        </is>
      </c>
      <c r="D12" s="22" t="inlineStr">
        <is>
          <t>مندوب منطقة العمارة 2</t>
        </is>
      </c>
    </row>
    <row r="13" ht="22" customHeight="1">
      <c r="A13" s="23" t="inlineStr">
        <is>
          <t>العمارة</t>
        </is>
      </c>
      <c r="B13" s="24" t="inlineStr">
        <is>
          <t>3-Amara</t>
        </is>
      </c>
      <c r="C13" s="23" t="inlineStr">
        <is>
          <t>AMR-03</t>
        </is>
      </c>
      <c r="D13" s="24" t="inlineStr">
        <is>
          <t>مندوب منطقة العمارة 3</t>
        </is>
      </c>
    </row>
    <row r="14" ht="22" customHeight="1">
      <c r="A14" s="21" t="inlineStr">
        <is>
          <t>العمارة</t>
        </is>
      </c>
      <c r="B14" s="22" t="inlineStr">
        <is>
          <t>4-Amara</t>
        </is>
      </c>
      <c r="C14" s="21" t="inlineStr">
        <is>
          <t>AMR-04</t>
        </is>
      </c>
      <c r="D14" s="22" t="inlineStr">
        <is>
          <t>مندوب منطقة العمارة 4</t>
        </is>
      </c>
    </row>
    <row r="15" ht="22" customHeight="1">
      <c r="A15" s="23" t="inlineStr">
        <is>
          <t>العمارة</t>
        </is>
      </c>
      <c r="B15" s="24" t="inlineStr">
        <is>
          <t>5-Amara</t>
        </is>
      </c>
      <c r="C15" s="23" t="inlineStr">
        <is>
          <t>AMR-05</t>
        </is>
      </c>
      <c r="D15" s="24" t="inlineStr">
        <is>
          <t>مندوب منطقة العمارة 5</t>
        </is>
      </c>
    </row>
    <row r="16" ht="22" customHeight="1">
      <c r="A16" s="21" t="inlineStr">
        <is>
          <t>العمارة</t>
        </is>
      </c>
      <c r="B16" s="22" t="inlineStr">
        <is>
          <t>6-Amara</t>
        </is>
      </c>
      <c r="C16" s="21" t="inlineStr">
        <is>
          <t>AMR-06</t>
        </is>
      </c>
      <c r="D16" s="22" t="inlineStr">
        <is>
          <t>مندوب منطقة العمارة 6</t>
        </is>
      </c>
    </row>
    <row r="17" ht="22" customHeight="1">
      <c r="A17" s="23" t="inlineStr">
        <is>
          <t>العمارة</t>
        </is>
      </c>
      <c r="B17" s="24" t="inlineStr">
        <is>
          <t>7-Amara</t>
        </is>
      </c>
      <c r="C17" s="23" t="inlineStr">
        <is>
          <t>AMR-07</t>
        </is>
      </c>
      <c r="D17" s="24" t="inlineStr">
        <is>
          <t>مندوب منطقة العمارة 7</t>
        </is>
      </c>
    </row>
    <row r="18" ht="22" customHeight="1">
      <c r="A18" s="21" t="inlineStr">
        <is>
          <t>البصرة</t>
        </is>
      </c>
      <c r="B18" s="22" t="inlineStr">
        <is>
          <t>مذخر البصرة مباشر</t>
        </is>
      </c>
      <c r="C18" s="21" t="inlineStr">
        <is>
          <t>BAS-DIR</t>
        </is>
      </c>
      <c r="D18" s="22" t="inlineStr">
        <is>
          <t>توزيع مباشر</t>
        </is>
      </c>
    </row>
    <row r="19" ht="22" customHeight="1">
      <c r="A19" s="23" t="inlineStr">
        <is>
          <t>البصرة</t>
        </is>
      </c>
      <c r="B19" s="24" t="inlineStr">
        <is>
          <t>1-Basra</t>
        </is>
      </c>
      <c r="C19" s="23" t="inlineStr">
        <is>
          <t>BAS-01</t>
        </is>
      </c>
      <c r="D19" s="24" t="inlineStr">
        <is>
          <t>مندوب منطقة البصرة 1</t>
        </is>
      </c>
    </row>
    <row r="20" ht="22" customHeight="1">
      <c r="A20" s="21" t="inlineStr">
        <is>
          <t>البصرة</t>
        </is>
      </c>
      <c r="B20" s="22" t="inlineStr">
        <is>
          <t>2-Basra</t>
        </is>
      </c>
      <c r="C20" s="21" t="inlineStr">
        <is>
          <t>BAS-02</t>
        </is>
      </c>
      <c r="D20" s="22" t="inlineStr">
        <is>
          <t>مندوب منطقة البصرة 2</t>
        </is>
      </c>
    </row>
    <row r="21" ht="22" customHeight="1">
      <c r="A21" s="23" t="inlineStr">
        <is>
          <t>البصرة</t>
        </is>
      </c>
      <c r="B21" s="24" t="inlineStr">
        <is>
          <t>3-Basra</t>
        </is>
      </c>
      <c r="C21" s="23" t="inlineStr">
        <is>
          <t>BAS-03</t>
        </is>
      </c>
      <c r="D21" s="24" t="inlineStr">
        <is>
          <t>مندوب منطقة البصرة 3</t>
        </is>
      </c>
    </row>
    <row r="22" ht="22" customHeight="1">
      <c r="A22" s="21" t="inlineStr">
        <is>
          <t>البصرة</t>
        </is>
      </c>
      <c r="B22" s="22" t="inlineStr">
        <is>
          <t>4-Basra</t>
        </is>
      </c>
      <c r="C22" s="21" t="inlineStr">
        <is>
          <t>BAS-04</t>
        </is>
      </c>
      <c r="D22" s="22" t="inlineStr">
        <is>
          <t>مندوب منطقة البصرة 4</t>
        </is>
      </c>
    </row>
    <row r="23" ht="22" customHeight="1">
      <c r="A23" s="23" t="inlineStr">
        <is>
          <t>البصرة</t>
        </is>
      </c>
      <c r="B23" s="24" t="inlineStr">
        <is>
          <t>5-Basra</t>
        </is>
      </c>
      <c r="C23" s="23" t="inlineStr">
        <is>
          <t>BAS-05</t>
        </is>
      </c>
      <c r="D23" s="24" t="inlineStr">
        <is>
          <t>مندوب منطقة البصرة 5</t>
        </is>
      </c>
    </row>
    <row r="24" ht="22" customHeight="1">
      <c r="A24" s="21" t="inlineStr">
        <is>
          <t>البصرة</t>
        </is>
      </c>
      <c r="B24" s="22" t="inlineStr">
        <is>
          <t>6-Basra</t>
        </is>
      </c>
      <c r="C24" s="21" t="inlineStr">
        <is>
          <t>BAS-06</t>
        </is>
      </c>
      <c r="D24" s="22" t="inlineStr">
        <is>
          <t>مندوب منطقة البصرة 6</t>
        </is>
      </c>
    </row>
    <row r="25" ht="22" customHeight="1">
      <c r="A25" s="23" t="inlineStr">
        <is>
          <t>البصرة</t>
        </is>
      </c>
      <c r="B25" s="24" t="inlineStr">
        <is>
          <t>7-Basra</t>
        </is>
      </c>
      <c r="C25" s="23" t="inlineStr">
        <is>
          <t>BAS-07</t>
        </is>
      </c>
      <c r="D25" s="24" t="inlineStr">
        <is>
          <t>مندوب منطقة البصرة 7</t>
        </is>
      </c>
    </row>
    <row r="26" ht="22" customHeight="1">
      <c r="A26" s="21" t="inlineStr">
        <is>
          <t>الناصرية</t>
        </is>
      </c>
      <c r="B26" s="22" t="inlineStr">
        <is>
          <t>مذخر الناصرية مباشر</t>
        </is>
      </c>
      <c r="C26" s="21" t="inlineStr">
        <is>
          <t>NAS-DIR</t>
        </is>
      </c>
      <c r="D26" s="22" t="inlineStr">
        <is>
          <t>توزيع مباشر</t>
        </is>
      </c>
    </row>
    <row r="27" ht="22" customHeight="1">
      <c r="A27" s="23" t="inlineStr">
        <is>
          <t>الناصرية</t>
        </is>
      </c>
      <c r="B27" s="24" t="inlineStr">
        <is>
          <t>1-Nasiriya</t>
        </is>
      </c>
      <c r="C27" s="23" t="inlineStr">
        <is>
          <t>NAS-01</t>
        </is>
      </c>
      <c r="D27" s="24" t="inlineStr">
        <is>
          <t>مندوب منطقة الناصرية 1</t>
        </is>
      </c>
    </row>
    <row r="28" ht="22" customHeight="1">
      <c r="A28" s="21" t="inlineStr">
        <is>
          <t>الناصرية</t>
        </is>
      </c>
      <c r="B28" s="22" t="inlineStr">
        <is>
          <t>2-Nasiriya</t>
        </is>
      </c>
      <c r="C28" s="21" t="inlineStr">
        <is>
          <t>NAS-02</t>
        </is>
      </c>
      <c r="D28" s="22" t="inlineStr">
        <is>
          <t>مندوب منطقة الناصرية 2</t>
        </is>
      </c>
    </row>
    <row r="29" ht="22" customHeight="1">
      <c r="A29" s="23" t="inlineStr">
        <is>
          <t>الناصرية</t>
        </is>
      </c>
      <c r="B29" s="24" t="inlineStr">
        <is>
          <t>3-Nasiriya</t>
        </is>
      </c>
      <c r="C29" s="23" t="inlineStr">
        <is>
          <t>NAS-03</t>
        </is>
      </c>
      <c r="D29" s="24" t="inlineStr">
        <is>
          <t>مندوب منطقة الناصرية 3</t>
        </is>
      </c>
    </row>
    <row r="30" ht="22" customHeight="1">
      <c r="A30" s="21" t="inlineStr">
        <is>
          <t>الناصرية</t>
        </is>
      </c>
      <c r="B30" s="22" t="inlineStr">
        <is>
          <t>4-Nasiriya</t>
        </is>
      </c>
      <c r="C30" s="21" t="inlineStr">
        <is>
          <t>NAS-04</t>
        </is>
      </c>
      <c r="D30" s="22" t="inlineStr">
        <is>
          <t>مندوب منطقة الناصرية 4</t>
        </is>
      </c>
    </row>
    <row r="31" ht="22" customHeight="1">
      <c r="A31" s="23" t="inlineStr">
        <is>
          <t>الناصرية</t>
        </is>
      </c>
      <c r="B31" s="24" t="inlineStr">
        <is>
          <t>5-Nasiriya</t>
        </is>
      </c>
      <c r="C31" s="23" t="inlineStr">
        <is>
          <t>NAS-05</t>
        </is>
      </c>
      <c r="D31" s="24" t="inlineStr">
        <is>
          <t>مندوب منطقة الناصرية 5</t>
        </is>
      </c>
    </row>
    <row r="32" ht="22" customHeight="1">
      <c r="A32" s="21" t="inlineStr">
        <is>
          <t>الناصرية</t>
        </is>
      </c>
      <c r="B32" s="22" t="inlineStr">
        <is>
          <t>6-Nasiriya</t>
        </is>
      </c>
      <c r="C32" s="21" t="inlineStr">
        <is>
          <t>NAS-06</t>
        </is>
      </c>
      <c r="D32" s="22" t="inlineStr">
        <is>
          <t>مندوب منطقة الناصرية 6</t>
        </is>
      </c>
    </row>
    <row r="33" ht="22" customHeight="1">
      <c r="A33" s="23" t="inlineStr">
        <is>
          <t>الناصرية</t>
        </is>
      </c>
      <c r="B33" s="24" t="inlineStr">
        <is>
          <t>7-Nasiriya</t>
        </is>
      </c>
      <c r="C33" s="23" t="inlineStr">
        <is>
          <t>NAS-07</t>
        </is>
      </c>
      <c r="D33" s="24" t="inlineStr">
        <is>
          <t>مندوب منطقة الناصرية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9" customWidth="1" min="3" max="3"/>
    <col width="26" customWidth="1" min="4" max="4"/>
  </cols>
  <sheetData>
    <row r="1" ht="28" customHeight="1">
      <c r="A1" s="20" t="inlineStr">
        <is>
          <t>المادة</t>
        </is>
      </c>
      <c r="B1" s="20" t="inlineStr">
        <is>
          <t>السعر المفرد (د.ع)</t>
        </is>
      </c>
      <c r="C1" s="20" t="inlineStr">
        <is>
          <t>الشركة الموردة</t>
        </is>
      </c>
      <c r="D1" s="20" t="inlineStr">
        <is>
          <t>ملاحظات</t>
        </is>
      </c>
    </row>
    <row r="2" ht="22" customHeight="1">
      <c r="A2" s="22" t="inlineStr">
        <is>
          <t>Paracetamol</t>
        </is>
      </c>
      <c r="B2" s="25" t="n">
        <v>1200</v>
      </c>
      <c r="C2" s="21" t="inlineStr">
        <is>
          <t>LDP</t>
        </is>
      </c>
      <c r="D2" s="21" t="inlineStr">
        <is>
          <t>أقراص / شراب</t>
        </is>
      </c>
    </row>
    <row r="3" ht="22" customHeight="1">
      <c r="A3" s="24" t="inlineStr">
        <is>
          <t>Ibuprofen</t>
        </is>
      </c>
      <c r="B3" s="26" t="n">
        <v>1500</v>
      </c>
      <c r="C3" s="23" t="inlineStr">
        <is>
          <t>LDP</t>
        </is>
      </c>
      <c r="D3" s="23" t="inlineStr">
        <is>
          <t>أقراص 400 ملغم</t>
        </is>
      </c>
    </row>
    <row r="4" ht="22" customHeight="1">
      <c r="A4" s="22" t="inlineStr">
        <is>
          <t>Amoxicillin</t>
        </is>
      </c>
      <c r="B4" s="25" t="n">
        <v>2500</v>
      </c>
      <c r="C4" s="21" t="inlineStr">
        <is>
          <t>MEDREICH</t>
        </is>
      </c>
      <c r="D4" s="21" t="inlineStr">
        <is>
          <t>كبسول 500 ملغم</t>
        </is>
      </c>
    </row>
    <row r="5" ht="22" customHeight="1">
      <c r="A5" s="24" t="inlineStr">
        <is>
          <t>Azithromycin</t>
        </is>
      </c>
      <c r="B5" s="26" t="n">
        <v>3000</v>
      </c>
      <c r="C5" s="23" t="inlineStr">
        <is>
          <t>LDP</t>
        </is>
      </c>
      <c r="D5" s="23" t="inlineStr">
        <is>
          <t>أقراص 500 ملغم</t>
        </is>
      </c>
    </row>
    <row r="6" ht="22" customHeight="1">
      <c r="A6" s="22" t="inlineStr">
        <is>
          <t>Omeprazole</t>
        </is>
      </c>
      <c r="B6" s="25" t="n">
        <v>2000</v>
      </c>
      <c r="C6" s="21" t="inlineStr">
        <is>
          <t>MEDREICH</t>
        </is>
      </c>
      <c r="D6" s="21" t="inlineStr">
        <is>
          <t>كبسول 20 ملغم</t>
        </is>
      </c>
    </row>
    <row r="7" ht="22" customHeight="1">
      <c r="A7" s="24" t="inlineStr">
        <is>
          <t>Metformin</t>
        </is>
      </c>
      <c r="B7" s="26" t="n">
        <v>1500</v>
      </c>
      <c r="C7" s="23" t="inlineStr">
        <is>
          <t>MEDREICH</t>
        </is>
      </c>
      <c r="D7" s="23" t="inlineStr">
        <is>
          <t>أقراص 500 ملغم</t>
        </is>
      </c>
    </row>
    <row r="8" ht="22" customHeight="1">
      <c r="A8" s="22" t="inlineStr">
        <is>
          <t>Amlodipine</t>
        </is>
      </c>
      <c r="B8" s="25" t="n">
        <v>2500</v>
      </c>
      <c r="C8" s="21" t="inlineStr">
        <is>
          <t>LDP</t>
        </is>
      </c>
      <c r="D8" s="21" t="inlineStr">
        <is>
          <t>أقراص 5 ملغم</t>
        </is>
      </c>
    </row>
    <row r="9" ht="22" customHeight="1">
      <c r="A9" s="24" t="inlineStr">
        <is>
          <t>Atorvastatin</t>
        </is>
      </c>
      <c r="B9" s="26" t="n">
        <v>3500</v>
      </c>
      <c r="C9" s="23" t="inlineStr">
        <is>
          <t>MEDREICH</t>
        </is>
      </c>
      <c r="D9" s="23" t="inlineStr">
        <is>
          <t>أقراص 20 ملغم</t>
        </is>
      </c>
    </row>
    <row r="10" ht="22" customHeight="1">
      <c r="A10" s="22" t="inlineStr">
        <is>
          <t>Losartan</t>
        </is>
      </c>
      <c r="B10" s="25" t="n">
        <v>3000</v>
      </c>
      <c r="C10" s="21" t="inlineStr">
        <is>
          <t>LDP</t>
        </is>
      </c>
      <c r="D10" s="21" t="inlineStr">
        <is>
          <t>أقراص 50 ملغم</t>
        </is>
      </c>
    </row>
    <row r="11" ht="22" customHeight="1">
      <c r="A11" s="24" t="inlineStr">
        <is>
          <t>Levothyroxine</t>
        </is>
      </c>
      <c r="B11" s="26" t="n">
        <v>4000</v>
      </c>
      <c r="C11" s="23" t="inlineStr">
        <is>
          <t>MEDREICH</t>
        </is>
      </c>
      <c r="D11" s="23" t="inlineStr">
        <is>
          <t>أقراص 50 ميكروغرام</t>
        </is>
      </c>
    </row>
    <row r="12" ht="22" customHeight="1">
      <c r="A12" s="22" t="inlineStr">
        <is>
          <t>Salbutamol</t>
        </is>
      </c>
      <c r="B12" s="25" t="n">
        <v>2000</v>
      </c>
      <c r="C12" s="21" t="inlineStr">
        <is>
          <t>LDP</t>
        </is>
      </c>
      <c r="D12" s="21" t="inlineStr">
        <is>
          <t>بخاخ / شراب</t>
        </is>
      </c>
    </row>
    <row r="13" ht="22" customHeight="1">
      <c r="A13" s="24" t="inlineStr">
        <is>
          <t>Pantoprazole</t>
        </is>
      </c>
      <c r="B13" s="26" t="n">
        <v>2500</v>
      </c>
      <c r="C13" s="23" t="inlineStr">
        <is>
          <t>MEDREICH</t>
        </is>
      </c>
      <c r="D13" s="23" t="inlineStr">
        <is>
          <t>أقراص 40 ملغم</t>
        </is>
      </c>
    </row>
    <row r="14" ht="22" customHeight="1">
      <c r="A14" s="22" t="inlineStr">
        <is>
          <t>Ciprofloxacin</t>
        </is>
      </c>
      <c r="B14" s="25" t="n">
        <v>1500</v>
      </c>
      <c r="C14" s="21" t="inlineStr">
        <is>
          <t>LDP</t>
        </is>
      </c>
      <c r="D14" s="21" t="inlineStr">
        <is>
          <t>أقراص 500 ملغم</t>
        </is>
      </c>
    </row>
    <row r="15" ht="22" customHeight="1">
      <c r="A15" s="24" t="inlineStr">
        <is>
          <t>Diclofenac</t>
        </is>
      </c>
      <c r="B15" s="26" t="n">
        <v>1000</v>
      </c>
      <c r="C15" s="23" t="inlineStr">
        <is>
          <t>LDP</t>
        </is>
      </c>
      <c r="D15" s="23" t="inlineStr">
        <is>
          <t>أمبول / أقراص 50 ملغم</t>
        </is>
      </c>
    </row>
    <row r="16" ht="22" customHeight="1">
      <c r="A16" s="22" t="inlineStr">
        <is>
          <t>Cetirizine</t>
        </is>
      </c>
      <c r="B16" s="25" t="n">
        <v>1500</v>
      </c>
      <c r="C16" s="21" t="inlineStr">
        <is>
          <t>MEDREICH</t>
        </is>
      </c>
      <c r="D16" s="21" t="inlineStr">
        <is>
          <t>أقراص 10 ملغم</t>
        </is>
      </c>
    </row>
    <row r="17" ht="22" customHeight="1">
      <c r="A17" s="24" t="inlineStr">
        <is>
          <t>Loratadine</t>
        </is>
      </c>
      <c r="B17" s="26" t="n">
        <v>2000</v>
      </c>
      <c r="C17" s="23" t="inlineStr">
        <is>
          <t>MEDREICH</t>
        </is>
      </c>
      <c r="D17" s="23" t="inlineStr">
        <is>
          <t>أقراص 10 ملغم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29" customWidth="1" min="5" max="5"/>
  </cols>
  <sheetData>
    <row r="1" ht="28" customHeight="1">
      <c r="A1" s="20" t="inlineStr">
        <is>
          <t>السنة</t>
        </is>
      </c>
      <c r="B1" s="20" t="inlineStr">
        <is>
          <t>الشهر</t>
        </is>
      </c>
      <c r="C1" s="20" t="inlineStr">
        <is>
          <t>المحافظة</t>
        </is>
      </c>
      <c r="D1" s="20" t="inlineStr">
        <is>
          <t>الهدف / التارغت (د.ع)</t>
        </is>
      </c>
      <c r="E1" s="20" t="inlineStr">
        <is>
          <t>ملاحظات الخطة</t>
        </is>
      </c>
    </row>
    <row r="2" ht="22" customHeight="1">
      <c r="A2" s="21" t="n">
        <v>2026</v>
      </c>
      <c r="B2" s="21" t="n">
        <v>8</v>
      </c>
      <c r="C2" s="21" t="inlineStr">
        <is>
          <t>الكوت</t>
        </is>
      </c>
      <c r="D2" s="25" t="n">
        <v>25000000</v>
      </c>
      <c r="E2" s="22" t="inlineStr">
        <is>
          <t>هدف شهر آب 2026</t>
        </is>
      </c>
    </row>
    <row r="3" ht="22" customHeight="1">
      <c r="A3" s="23" t="n">
        <v>2026</v>
      </c>
      <c r="B3" s="23" t="n">
        <v>8</v>
      </c>
      <c r="C3" s="23" t="inlineStr">
        <is>
          <t>العمارة</t>
        </is>
      </c>
      <c r="D3" s="26" t="n">
        <v>20000000</v>
      </c>
      <c r="E3" s="24" t="inlineStr">
        <is>
          <t>هدف شهر آب 2026</t>
        </is>
      </c>
    </row>
    <row r="4" ht="22" customHeight="1">
      <c r="A4" s="21" t="n">
        <v>2026</v>
      </c>
      <c r="B4" s="21" t="n">
        <v>8</v>
      </c>
      <c r="C4" s="21" t="inlineStr">
        <is>
          <t>البصرة</t>
        </is>
      </c>
      <c r="D4" s="25" t="n">
        <v>35000000</v>
      </c>
      <c r="E4" s="22" t="inlineStr">
        <is>
          <t>هدف شهر آب 2026</t>
        </is>
      </c>
    </row>
    <row r="5" ht="22" customHeight="1">
      <c r="A5" s="23" t="n">
        <v>2026</v>
      </c>
      <c r="B5" s="23" t="n">
        <v>8</v>
      </c>
      <c r="C5" s="23" t="inlineStr">
        <is>
          <t>الناصرية</t>
        </is>
      </c>
      <c r="D5" s="26" t="n">
        <v>22000000</v>
      </c>
      <c r="E5" s="24" t="inlineStr">
        <is>
          <t>هدف شهر آب 2026</t>
        </is>
      </c>
    </row>
    <row r="6" ht="22" customHeight="1">
      <c r="A6" s="21" t="n">
        <v>2026</v>
      </c>
      <c r="B6" s="21" t="n">
        <v>9</v>
      </c>
      <c r="C6" s="21" t="inlineStr">
        <is>
          <t>الكوت</t>
        </is>
      </c>
      <c r="D6" s="25" t="n">
        <v>28000000</v>
      </c>
      <c r="E6" s="22" t="inlineStr">
        <is>
          <t>هدف شهر أيلول 2026</t>
        </is>
      </c>
    </row>
    <row r="7" ht="22" customHeight="1">
      <c r="A7" s="23" t="n">
        <v>2026</v>
      </c>
      <c r="B7" s="23" t="n">
        <v>9</v>
      </c>
      <c r="C7" s="23" t="inlineStr">
        <is>
          <t>العمارة</t>
        </is>
      </c>
      <c r="D7" s="26" t="n">
        <v>22000000</v>
      </c>
      <c r="E7" s="24" t="inlineStr">
        <is>
          <t>هدف شهر أيلول 2026</t>
        </is>
      </c>
    </row>
    <row r="8" ht="22" customHeight="1">
      <c r="A8" s="21" t="n">
        <v>2026</v>
      </c>
      <c r="B8" s="21" t="n">
        <v>9</v>
      </c>
      <c r="C8" s="21" t="inlineStr">
        <is>
          <t>البصرة</t>
        </is>
      </c>
      <c r="D8" s="25" t="n">
        <v>40000000</v>
      </c>
      <c r="E8" s="22" t="inlineStr">
        <is>
          <t>هدف شهر أيلول 2026</t>
        </is>
      </c>
    </row>
    <row r="9" ht="22" customHeight="1">
      <c r="A9" s="23" t="n">
        <v>2026</v>
      </c>
      <c r="B9" s="23" t="n">
        <v>9</v>
      </c>
      <c r="C9" s="23" t="inlineStr">
        <is>
          <t>الناصرية</t>
        </is>
      </c>
      <c r="D9" s="26" t="n">
        <v>25000000</v>
      </c>
      <c r="E9" s="24" t="inlineStr">
        <is>
          <t>هدف شهر أيلول 2026</t>
        </is>
      </c>
    </row>
    <row r="10" ht="22" customHeight="1">
      <c r="A10" s="21" t="n">
        <v>2026</v>
      </c>
      <c r="B10" s="21" t="n">
        <v>10</v>
      </c>
      <c r="C10" s="21" t="inlineStr">
        <is>
          <t>الكوت</t>
        </is>
      </c>
      <c r="D10" s="25" t="n">
        <v>30000000</v>
      </c>
      <c r="E10" s="22" t="inlineStr">
        <is>
          <t>هدف شهر تشرين الأول 2026</t>
        </is>
      </c>
    </row>
    <row r="11" ht="22" customHeight="1">
      <c r="A11" s="23" t="n">
        <v>2026</v>
      </c>
      <c r="B11" s="23" t="n">
        <v>10</v>
      </c>
      <c r="C11" s="23" t="inlineStr">
        <is>
          <t>العمارة</t>
        </is>
      </c>
      <c r="D11" s="26" t="n">
        <v>25000000</v>
      </c>
      <c r="E11" s="24" t="inlineStr">
        <is>
          <t>هدف شهر تشرين الأول 2026</t>
        </is>
      </c>
    </row>
    <row r="12" ht="22" customHeight="1">
      <c r="A12" s="21" t="n">
        <v>2026</v>
      </c>
      <c r="B12" s="21" t="n">
        <v>10</v>
      </c>
      <c r="C12" s="21" t="inlineStr">
        <is>
          <t>البصرة</t>
        </is>
      </c>
      <c r="D12" s="25" t="n">
        <v>45000000</v>
      </c>
      <c r="E12" s="22" t="inlineStr">
        <is>
          <t>هدف شهر تشرين الأول 2026</t>
        </is>
      </c>
    </row>
    <row r="13" ht="22" customHeight="1">
      <c r="A13" s="23" t="n">
        <v>2026</v>
      </c>
      <c r="B13" s="23" t="n">
        <v>10</v>
      </c>
      <c r="C13" s="23" t="inlineStr">
        <is>
          <t>الناصرية</t>
        </is>
      </c>
      <c r="D13" s="26" t="n">
        <v>28000000</v>
      </c>
      <c r="E13" s="24" t="inlineStr">
        <is>
          <t>هدف شهر تشرين الأول 2026</t>
        </is>
      </c>
    </row>
  </sheetData>
  <dataValidations count="1">
    <dataValidation sqref="C2:C100" showDropDown="0" showInputMessage="0" showErrorMessage="0" allowBlank="1" type="list">
      <formula1>"الكوت,العمارة,البصرة,الناصرية"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17" customWidth="1" min="5" max="5"/>
    <col width="23" customWidth="1" min="6" max="6"/>
    <col width="18" customWidth="1" min="7" max="7"/>
    <col width="15" customWidth="1" min="8" max="8"/>
    <col width="19" customWidth="1" min="9" max="9"/>
    <col width="17" customWidth="1" min="10" max="10"/>
  </cols>
  <sheetData>
    <row r="1">
      <c r="A1" s="27" t="inlineStr">
        <is>
          <t>سجل مبيعات ومندوبي محافظة الكوت</t>
        </is>
      </c>
      <c r="D1" s="28" t="inlineStr">
        <is>
          <t>إجمالي المبيعات</t>
        </is>
      </c>
      <c r="E1" s="28" t="inlineStr">
        <is>
          <t>إجمالي القطع</t>
        </is>
      </c>
      <c r="F1" s="29" t="inlineStr">
        <is>
          <t>نسبة تحقيق التارجت</t>
        </is>
      </c>
    </row>
    <row r="2">
      <c r="A2" s="30" t="inlineStr">
        <is>
          <t>الهدف المالي الشهري: 25,000,000 د.ع</t>
        </is>
      </c>
      <c r="D2" s="31">
        <f>SUM(G5:G100)</f>
        <v/>
      </c>
      <c r="E2" s="32">
        <f>SUM(E5:E100)</f>
        <v/>
      </c>
      <c r="F2" s="33">
        <f>IF(I5&gt;0, D2/I5, D2/25000000)</f>
        <v/>
      </c>
    </row>
    <row r="3" ht="10" customHeight="1"/>
    <row r="4" ht="28" customHeight="1">
      <c r="A4" s="2" t="inlineStr">
        <is>
          <t>المندوب</t>
        </is>
      </c>
      <c r="B4" s="2" t="inlineStr">
        <is>
          <t>المحافظة</t>
        </is>
      </c>
      <c r="C4" s="2" t="inlineStr">
        <is>
          <t>الشركة</t>
        </is>
      </c>
      <c r="D4" s="2" t="inlineStr">
        <is>
          <t>المادة</t>
        </is>
      </c>
      <c r="E4" s="2" t="inlineStr">
        <is>
          <t>العدد</t>
        </is>
      </c>
      <c r="F4" s="2" t="inlineStr">
        <is>
          <t>سعر المادة</t>
        </is>
      </c>
      <c r="G4" s="2" t="inlineStr">
        <is>
          <t>اجمالي المبلغ</t>
        </is>
      </c>
      <c r="H4" s="2" t="inlineStr">
        <is>
          <t>التاريخ</t>
        </is>
      </c>
      <c r="I4" s="2" t="inlineStr">
        <is>
          <t>تاركت المحافظة</t>
        </is>
      </c>
      <c r="J4" s="2" t="inlineStr">
        <is>
          <t>نسبه الانجاز</t>
        </is>
      </c>
    </row>
    <row r="5" ht="24" customHeight="1">
      <c r="A5" s="24" t="inlineStr">
        <is>
          <t>1-Kut</t>
        </is>
      </c>
      <c r="B5" s="24" t="inlineStr">
        <is>
          <t>الكوت</t>
        </is>
      </c>
      <c r="C5" s="24" t="inlineStr">
        <is>
          <t>LDP</t>
        </is>
      </c>
      <c r="D5" s="24" t="inlineStr">
        <is>
          <t>Paracetamol</t>
        </is>
      </c>
      <c r="E5" s="23" t="n">
        <v>500</v>
      </c>
      <c r="F5" s="34">
        <f>IFERROR(VLOOKUP(D5, 'المواد والأسعار'!$A$2:$B$20, 2, FALSE), 0)</f>
        <v/>
      </c>
      <c r="G5" s="12">
        <f>E5*F5</f>
        <v/>
      </c>
      <c r="H5" s="23" t="inlineStr">
        <is>
          <t>2026-08-15</t>
        </is>
      </c>
      <c r="I5" s="34">
        <f>IFERROR(SUMIFS('تارجت المحافظات'!$D$2:$D$50, 'تارجت المحافظات'!$C$2:$C$50, B5, 'تارجت المحافظات'!$B$2:$B$50, MONTH(H5)), 25000000)</f>
        <v/>
      </c>
      <c r="J5" s="35">
        <f>IF(I5&gt;0, G5/I5, 0)</f>
        <v/>
      </c>
    </row>
    <row r="6" ht="24" customHeight="1">
      <c r="A6" s="22" t="inlineStr">
        <is>
          <t>2-Kut</t>
        </is>
      </c>
      <c r="B6" s="22" t="inlineStr">
        <is>
          <t>الكوت</t>
        </is>
      </c>
      <c r="C6" s="22" t="inlineStr">
        <is>
          <t>MEDREICH</t>
        </is>
      </c>
      <c r="D6" s="22" t="inlineStr">
        <is>
          <t>Amoxicillin</t>
        </is>
      </c>
      <c r="E6" s="21" t="n">
        <v>400</v>
      </c>
      <c r="F6" s="36">
        <f>IFERROR(VLOOKUP(D6, 'المواد والأسعار'!$A$2:$B$20, 2, FALSE), 0)</f>
        <v/>
      </c>
      <c r="G6" s="6">
        <f>E6*F6</f>
        <v/>
      </c>
      <c r="H6" s="21" t="inlineStr">
        <is>
          <t>2026-08-16</t>
        </is>
      </c>
      <c r="I6" s="36">
        <f>IFERROR(SUMIFS('تارجت المحافظات'!$D$2:$D$50, 'تارجت المحافظات'!$C$2:$C$50, B6, 'تارجت المحافظات'!$B$2:$B$50, MONTH(H6)), 25000000)</f>
        <v/>
      </c>
      <c r="J6" s="37">
        <f>IF(I6&gt;0, G6/I6, 0)</f>
        <v/>
      </c>
    </row>
    <row r="7" ht="24" customHeight="1">
      <c r="A7" s="24" t="inlineStr">
        <is>
          <t>مذخر الكوت مباشر</t>
        </is>
      </c>
      <c r="B7" s="24" t="inlineStr">
        <is>
          <t>الكوت</t>
        </is>
      </c>
      <c r="C7" s="24" t="inlineStr">
        <is>
          <t>LDP</t>
        </is>
      </c>
      <c r="D7" s="24" t="inlineStr">
        <is>
          <t>Azithromycin</t>
        </is>
      </c>
      <c r="E7" s="23" t="n">
        <v>800</v>
      </c>
      <c r="F7" s="34">
        <f>IFERROR(VLOOKUP(D7, 'المواد والأسعار'!$A$2:$B$20, 2, FALSE), 0)</f>
        <v/>
      </c>
      <c r="G7" s="12">
        <f>E7*F7</f>
        <v/>
      </c>
      <c r="H7" s="23" t="inlineStr">
        <is>
          <t>2026-08-17</t>
        </is>
      </c>
      <c r="I7" s="34">
        <f>IFERROR(SUMIFS('تارجت المحافظات'!$D$2:$D$50, 'تارجت المحافظات'!$C$2:$C$50, B7, 'تارجت المحافظات'!$B$2:$B$50, MONTH(H7)), 25000000)</f>
        <v/>
      </c>
      <c r="J7" s="35">
        <f>IF(I7&gt;0, G7/I7, 0)</f>
        <v/>
      </c>
    </row>
    <row r="8" ht="24" customHeight="1">
      <c r="A8" s="22" t="inlineStr">
        <is>
          <t>3-Kut</t>
        </is>
      </c>
      <c r="B8" s="22" t="inlineStr">
        <is>
          <t>الكوت</t>
        </is>
      </c>
      <c r="C8" s="22" t="inlineStr">
        <is>
          <t>MEDREICH</t>
        </is>
      </c>
      <c r="D8" s="22" t="inlineStr">
        <is>
          <t>Omeprazole</t>
        </is>
      </c>
      <c r="E8" s="21" t="n">
        <v>350</v>
      </c>
      <c r="F8" s="36">
        <f>IFERROR(VLOOKUP(D8, 'المواد والأسعار'!$A$2:$B$20, 2, FALSE), 0)</f>
        <v/>
      </c>
      <c r="G8" s="6">
        <f>E8*F8</f>
        <v/>
      </c>
      <c r="H8" s="21" t="inlineStr">
        <is>
          <t>2026-08-18</t>
        </is>
      </c>
      <c r="I8" s="36">
        <f>IFERROR(SUMIFS('تارجت المحافظات'!$D$2:$D$50, 'تارجت المحافظات'!$C$2:$C$50, B8, 'تارجت المحافظات'!$B$2:$B$50, MONTH(H8)), 25000000)</f>
        <v/>
      </c>
      <c r="J8" s="37">
        <f>IF(I8&gt;0, G8/I8, 0)</f>
        <v/>
      </c>
    </row>
    <row r="9" ht="24" customHeight="1">
      <c r="A9" s="24" t="inlineStr">
        <is>
          <t>4-Kut</t>
        </is>
      </c>
      <c r="B9" s="24" t="inlineStr">
        <is>
          <t>الكوت</t>
        </is>
      </c>
      <c r="C9" s="24" t="inlineStr">
        <is>
          <t>LDP</t>
        </is>
      </c>
      <c r="D9" s="24" t="inlineStr">
        <is>
          <t>Amlodipine</t>
        </is>
      </c>
      <c r="E9" s="23" t="n">
        <v>600</v>
      </c>
      <c r="F9" s="34">
        <f>IFERROR(VLOOKUP(D9, 'المواد والأسعار'!$A$2:$B$20, 2, FALSE), 0)</f>
        <v/>
      </c>
      <c r="G9" s="12">
        <f>E9*F9</f>
        <v/>
      </c>
      <c r="H9" s="23" t="inlineStr">
        <is>
          <t>2026-08-19</t>
        </is>
      </c>
      <c r="I9" s="34">
        <f>IFERROR(SUMIFS('تارجت المحافظات'!$D$2:$D$50, 'تارجت المحافظات'!$C$2:$C$50, B9, 'تارجت المحافظات'!$B$2:$B$50, MONTH(H9)), 25000000)</f>
        <v/>
      </c>
      <c r="J9" s="35">
        <f>IF(I9&gt;0, G9/I9, 0)</f>
        <v/>
      </c>
    </row>
    <row r="10" ht="22" customHeight="1">
      <c r="A10" s="38" t="n"/>
      <c r="B10" s="38" t="inlineStr">
        <is>
          <t>الكوت</t>
        </is>
      </c>
      <c r="C10" s="38" t="n"/>
      <c r="D10" s="38" t="n"/>
      <c r="E10" s="38" t="n"/>
      <c r="F10" s="39">
        <f>IFERROR(VLOOKUP(D10, 'المواد والأسعار'!$A$2:$B$20, 2, FALSE), 0)</f>
        <v/>
      </c>
      <c r="G10" s="39">
        <f>IF(E10&gt;0, E10*F10, 0)</f>
        <v/>
      </c>
      <c r="H10" s="38" t="n"/>
      <c r="I10" s="39">
        <f>IFERROR(SUMIFS('تارجت المحافظات'!$D$2:$D$50, 'تارجت المحافظات'!$C$2:$C$50, B10, 'تارجت المحافظات'!$B$2:$B$50, MONTH(H10)), 25000000)</f>
        <v/>
      </c>
      <c r="J10" s="40">
        <f>IF(I10&gt;0, G10/I10, 0)</f>
        <v/>
      </c>
    </row>
    <row r="11" ht="22" customHeight="1">
      <c r="A11" s="41" t="n"/>
      <c r="B11" s="41" t="inlineStr">
        <is>
          <t>الكوت</t>
        </is>
      </c>
      <c r="C11" s="41" t="n"/>
      <c r="D11" s="41" t="n"/>
      <c r="E11" s="41" t="n"/>
      <c r="F11" s="42">
        <f>IFERROR(VLOOKUP(D11, 'المواد والأسعار'!$A$2:$B$20, 2, FALSE), 0)</f>
        <v/>
      </c>
      <c r="G11" s="42">
        <f>IF(E11&gt;0, E11*F11, 0)</f>
        <v/>
      </c>
      <c r="H11" s="41" t="n"/>
      <c r="I11" s="42">
        <f>IFERROR(SUMIFS('تارجت المحافظات'!$D$2:$D$50, 'تارجت المحافظات'!$C$2:$C$50, B11, 'تارجت المحافظات'!$B$2:$B$50, MONTH(H11)), 25000000)</f>
        <v/>
      </c>
      <c r="J11" s="43">
        <f>IF(I11&gt;0, G11/I11, 0)</f>
        <v/>
      </c>
    </row>
    <row r="12" ht="22" customHeight="1">
      <c r="A12" s="38" t="n"/>
      <c r="B12" s="38" t="inlineStr">
        <is>
          <t>الكوت</t>
        </is>
      </c>
      <c r="C12" s="38" t="n"/>
      <c r="D12" s="38" t="n"/>
      <c r="E12" s="38" t="n"/>
      <c r="F12" s="39">
        <f>IFERROR(VLOOKUP(D12, 'المواد والأسعار'!$A$2:$B$20, 2, FALSE), 0)</f>
        <v/>
      </c>
      <c r="G12" s="39">
        <f>IF(E12&gt;0, E12*F12, 0)</f>
        <v/>
      </c>
      <c r="H12" s="38" t="n"/>
      <c r="I12" s="39">
        <f>IFERROR(SUMIFS('تارجت المحافظات'!$D$2:$D$50, 'تارجت المحافظات'!$C$2:$C$50, B12, 'تارجت المحافظات'!$B$2:$B$50, MONTH(H12)), 25000000)</f>
        <v/>
      </c>
      <c r="J12" s="40">
        <f>IF(I12&gt;0, G12/I12, 0)</f>
        <v/>
      </c>
    </row>
    <row r="13" ht="22" customHeight="1">
      <c r="A13" s="41" t="n"/>
      <c r="B13" s="41" t="inlineStr">
        <is>
          <t>الكوت</t>
        </is>
      </c>
      <c r="C13" s="41" t="n"/>
      <c r="D13" s="41" t="n"/>
      <c r="E13" s="41" t="n"/>
      <c r="F13" s="42">
        <f>IFERROR(VLOOKUP(D13, 'المواد والأسعار'!$A$2:$B$20, 2, FALSE), 0)</f>
        <v/>
      </c>
      <c r="G13" s="42">
        <f>IF(E13&gt;0, E13*F13, 0)</f>
        <v/>
      </c>
      <c r="H13" s="41" t="n"/>
      <c r="I13" s="42">
        <f>IFERROR(SUMIFS('تارجت المحافظات'!$D$2:$D$50, 'تارجت المحافظات'!$C$2:$C$50, B13, 'تارجت المحافظات'!$B$2:$B$50, MONTH(H13)), 25000000)</f>
        <v/>
      </c>
      <c r="J13" s="43">
        <f>IF(I13&gt;0, G13/I13, 0)</f>
        <v/>
      </c>
    </row>
    <row r="14" ht="22" customHeight="1">
      <c r="A14" s="38" t="n"/>
      <c r="B14" s="38" t="inlineStr">
        <is>
          <t>الكوت</t>
        </is>
      </c>
      <c r="C14" s="38" t="n"/>
      <c r="D14" s="38" t="n"/>
      <c r="E14" s="38" t="n"/>
      <c r="F14" s="39">
        <f>IFERROR(VLOOKUP(D14, 'المواد والأسعار'!$A$2:$B$20, 2, FALSE), 0)</f>
        <v/>
      </c>
      <c r="G14" s="39">
        <f>IF(E14&gt;0, E14*F14, 0)</f>
        <v/>
      </c>
      <c r="H14" s="38" t="n"/>
      <c r="I14" s="39">
        <f>IFERROR(SUMIFS('تارجت المحافظات'!$D$2:$D$50, 'تارجت المحافظات'!$C$2:$C$50, B14, 'تارجت المحافظات'!$B$2:$B$50, MONTH(H14)), 25000000)</f>
        <v/>
      </c>
      <c r="J14" s="40">
        <f>IF(I14&gt;0, G14/I14, 0)</f>
        <v/>
      </c>
    </row>
    <row r="15" ht="22" customHeight="1">
      <c r="A15" s="41" t="n"/>
      <c r="B15" s="41" t="inlineStr">
        <is>
          <t>الكوت</t>
        </is>
      </c>
      <c r="C15" s="41" t="n"/>
      <c r="D15" s="41" t="n"/>
      <c r="E15" s="41" t="n"/>
      <c r="F15" s="42">
        <f>IFERROR(VLOOKUP(D15, 'المواد والأسعار'!$A$2:$B$20, 2, FALSE), 0)</f>
        <v/>
      </c>
      <c r="G15" s="42">
        <f>IF(E15&gt;0, E15*F15, 0)</f>
        <v/>
      </c>
      <c r="H15" s="41" t="n"/>
      <c r="I15" s="42">
        <f>IFERROR(SUMIFS('تارجت المحافظات'!$D$2:$D$50, 'تارجت المحافظات'!$C$2:$C$50, B15, 'تارجت المحافظات'!$B$2:$B$50, MONTH(H15)), 25000000)</f>
        <v/>
      </c>
      <c r="J15" s="43">
        <f>IF(I15&gt;0, G15/I15, 0)</f>
        <v/>
      </c>
    </row>
    <row r="16" ht="22" customHeight="1">
      <c r="A16" s="38" t="n"/>
      <c r="B16" s="38" t="inlineStr">
        <is>
          <t>الكوت</t>
        </is>
      </c>
      <c r="C16" s="38" t="n"/>
      <c r="D16" s="38" t="n"/>
      <c r="E16" s="38" t="n"/>
      <c r="F16" s="39">
        <f>IFERROR(VLOOKUP(D16, 'المواد والأسعار'!$A$2:$B$20, 2, FALSE), 0)</f>
        <v/>
      </c>
      <c r="G16" s="39">
        <f>IF(E16&gt;0, E16*F16, 0)</f>
        <v/>
      </c>
      <c r="H16" s="38" t="n"/>
      <c r="I16" s="39">
        <f>IFERROR(SUMIFS('تارجت المحافظات'!$D$2:$D$50, 'تارجت المحافظات'!$C$2:$C$50, B16, 'تارجت المحافظات'!$B$2:$B$50, MONTH(H16)), 25000000)</f>
        <v/>
      </c>
      <c r="J16" s="40">
        <f>IF(I16&gt;0, G16/I16, 0)</f>
        <v/>
      </c>
    </row>
    <row r="17" ht="22" customHeight="1">
      <c r="A17" s="41" t="n"/>
      <c r="B17" s="41" t="inlineStr">
        <is>
          <t>الكوت</t>
        </is>
      </c>
      <c r="C17" s="41" t="n"/>
      <c r="D17" s="41" t="n"/>
      <c r="E17" s="41" t="n"/>
      <c r="F17" s="42">
        <f>IFERROR(VLOOKUP(D17, 'المواد والأسعار'!$A$2:$B$20, 2, FALSE), 0)</f>
        <v/>
      </c>
      <c r="G17" s="42">
        <f>IF(E17&gt;0, E17*F17, 0)</f>
        <v/>
      </c>
      <c r="H17" s="41" t="n"/>
      <c r="I17" s="42">
        <f>IFERROR(SUMIFS('تارجت المحافظات'!$D$2:$D$50, 'تارجت المحافظات'!$C$2:$C$50, B17, 'تارجت المحافظات'!$B$2:$B$50, MONTH(H17)), 25000000)</f>
        <v/>
      </c>
      <c r="J17" s="43">
        <f>IF(I17&gt;0, G17/I17, 0)</f>
        <v/>
      </c>
    </row>
    <row r="18" ht="22" customHeight="1">
      <c r="A18" s="38" t="n"/>
      <c r="B18" s="38" t="inlineStr">
        <is>
          <t>الكوت</t>
        </is>
      </c>
      <c r="C18" s="38" t="n"/>
      <c r="D18" s="38" t="n"/>
      <c r="E18" s="38" t="n"/>
      <c r="F18" s="39">
        <f>IFERROR(VLOOKUP(D18, 'المواد والأسعار'!$A$2:$B$20, 2, FALSE), 0)</f>
        <v/>
      </c>
      <c r="G18" s="39">
        <f>IF(E18&gt;0, E18*F18, 0)</f>
        <v/>
      </c>
      <c r="H18" s="38" t="n"/>
      <c r="I18" s="39">
        <f>IFERROR(SUMIFS('تارجت المحافظات'!$D$2:$D$50, 'تارجت المحافظات'!$C$2:$C$50, B18, 'تارجت المحافظات'!$B$2:$B$50, MONTH(H18)), 25000000)</f>
        <v/>
      </c>
      <c r="J18" s="40">
        <f>IF(I18&gt;0, G18/I18, 0)</f>
        <v/>
      </c>
    </row>
    <row r="19" ht="22" customHeight="1">
      <c r="A19" s="41" t="n"/>
      <c r="B19" s="41" t="inlineStr">
        <is>
          <t>الكوت</t>
        </is>
      </c>
      <c r="C19" s="41" t="n"/>
      <c r="D19" s="41" t="n"/>
      <c r="E19" s="41" t="n"/>
      <c r="F19" s="42">
        <f>IFERROR(VLOOKUP(D19, 'المواد والأسعار'!$A$2:$B$20, 2, FALSE), 0)</f>
        <v/>
      </c>
      <c r="G19" s="42">
        <f>IF(E19&gt;0, E19*F19, 0)</f>
        <v/>
      </c>
      <c r="H19" s="41" t="n"/>
      <c r="I19" s="42">
        <f>IFERROR(SUMIFS('تارجت المحافظات'!$D$2:$D$50, 'تارجت المحافظات'!$C$2:$C$50, B19, 'تارجت المحافظات'!$B$2:$B$50, MONTH(H19)), 25000000)</f>
        <v/>
      </c>
      <c r="J19" s="43">
        <f>IF(I19&gt;0, G19/I19, 0)</f>
        <v/>
      </c>
    </row>
    <row r="20" ht="22" customHeight="1">
      <c r="A20" s="38" t="n"/>
      <c r="B20" s="38" t="inlineStr">
        <is>
          <t>الكوت</t>
        </is>
      </c>
      <c r="C20" s="38" t="n"/>
      <c r="D20" s="38" t="n"/>
      <c r="E20" s="38" t="n"/>
      <c r="F20" s="39">
        <f>IFERROR(VLOOKUP(D20, 'المواد والأسعار'!$A$2:$B$20, 2, FALSE), 0)</f>
        <v/>
      </c>
      <c r="G20" s="39">
        <f>IF(E20&gt;0, E20*F20, 0)</f>
        <v/>
      </c>
      <c r="H20" s="38" t="n"/>
      <c r="I20" s="39">
        <f>IFERROR(SUMIFS('تارجت المحافظات'!$D$2:$D$50, 'تارجت المحافظات'!$C$2:$C$50, B20, 'تارجت المحافظات'!$B$2:$B$50, MONTH(H20)), 25000000)</f>
        <v/>
      </c>
      <c r="J20" s="40">
        <f>IF(I20&gt;0, G20/I20, 0)</f>
        <v/>
      </c>
    </row>
    <row r="21" ht="22" customHeight="1">
      <c r="A21" s="41" t="n"/>
      <c r="B21" s="41" t="inlineStr">
        <is>
          <t>الكوت</t>
        </is>
      </c>
      <c r="C21" s="41" t="n"/>
      <c r="D21" s="41" t="n"/>
      <c r="E21" s="41" t="n"/>
      <c r="F21" s="42">
        <f>IFERROR(VLOOKUP(D21, 'المواد والأسعار'!$A$2:$B$20, 2, FALSE), 0)</f>
        <v/>
      </c>
      <c r="G21" s="42">
        <f>IF(E21&gt;0, E21*F21, 0)</f>
        <v/>
      </c>
      <c r="H21" s="41" t="n"/>
      <c r="I21" s="42">
        <f>IFERROR(SUMIFS('تارجت المحافظات'!$D$2:$D$50, 'تارجت المحافظات'!$C$2:$C$50, B21, 'تارجت المحافظات'!$B$2:$B$50, MONTH(H21)), 25000000)</f>
        <v/>
      </c>
      <c r="J21" s="43">
        <f>IF(I21&gt;0, G21/I21, 0)</f>
        <v/>
      </c>
    </row>
    <row r="22" ht="22" customHeight="1">
      <c r="A22" s="38" t="n"/>
      <c r="B22" s="38" t="inlineStr">
        <is>
          <t>الكوت</t>
        </is>
      </c>
      <c r="C22" s="38" t="n"/>
      <c r="D22" s="38" t="n"/>
      <c r="E22" s="38" t="n"/>
      <c r="F22" s="39">
        <f>IFERROR(VLOOKUP(D22, 'المواد والأسعار'!$A$2:$B$20, 2, FALSE), 0)</f>
        <v/>
      </c>
      <c r="G22" s="39">
        <f>IF(E22&gt;0, E22*F22, 0)</f>
        <v/>
      </c>
      <c r="H22" s="38" t="n"/>
      <c r="I22" s="39">
        <f>IFERROR(SUMIFS('تارجت المحافظات'!$D$2:$D$50, 'تارجت المحافظات'!$C$2:$C$50, B22, 'تارجت المحافظات'!$B$2:$B$50, MONTH(H22)), 25000000)</f>
        <v/>
      </c>
      <c r="J22" s="40">
        <f>IF(I22&gt;0, G22/I22, 0)</f>
        <v/>
      </c>
    </row>
    <row r="23" ht="22" customHeight="1">
      <c r="A23" s="41" t="n"/>
      <c r="B23" s="41" t="inlineStr">
        <is>
          <t>الكوت</t>
        </is>
      </c>
      <c r="C23" s="41" t="n"/>
      <c r="D23" s="41" t="n"/>
      <c r="E23" s="41" t="n"/>
      <c r="F23" s="42">
        <f>IFERROR(VLOOKUP(D23, 'المواد والأسعار'!$A$2:$B$20, 2, FALSE), 0)</f>
        <v/>
      </c>
      <c r="G23" s="42">
        <f>IF(E23&gt;0, E23*F23, 0)</f>
        <v/>
      </c>
      <c r="H23" s="41" t="n"/>
      <c r="I23" s="42">
        <f>IFERROR(SUMIFS('تارجت المحافظات'!$D$2:$D$50, 'تارجت المحافظات'!$C$2:$C$50, B23, 'تارجت المحافظات'!$B$2:$B$50, MONTH(H23)), 25000000)</f>
        <v/>
      </c>
      <c r="J23" s="43">
        <f>IF(I23&gt;0, G23/I23, 0)</f>
        <v/>
      </c>
    </row>
    <row r="24" ht="22" customHeight="1">
      <c r="A24" s="38" t="n"/>
      <c r="B24" s="38" t="inlineStr">
        <is>
          <t>الكوت</t>
        </is>
      </c>
      <c r="C24" s="38" t="n"/>
      <c r="D24" s="38" t="n"/>
      <c r="E24" s="38" t="n"/>
      <c r="F24" s="39">
        <f>IFERROR(VLOOKUP(D24, 'المواد والأسعار'!$A$2:$B$20, 2, FALSE), 0)</f>
        <v/>
      </c>
      <c r="G24" s="39">
        <f>IF(E24&gt;0, E24*F24, 0)</f>
        <v/>
      </c>
      <c r="H24" s="38" t="n"/>
      <c r="I24" s="39">
        <f>IFERROR(SUMIFS('تارجت المحافظات'!$D$2:$D$50, 'تارجت المحافظات'!$C$2:$C$50, B24, 'تارجت المحافظات'!$B$2:$B$50, MONTH(H24)), 25000000)</f>
        <v/>
      </c>
      <c r="J24" s="40">
        <f>IF(I24&gt;0, G24/I24, 0)</f>
        <v/>
      </c>
    </row>
    <row r="25" ht="26" customHeight="1">
      <c r="A25" s="14" t="inlineStr">
        <is>
          <t>الإجمالي العام للمحافظة</t>
        </is>
      </c>
      <c r="B25" s="15" t="n"/>
      <c r="C25" s="15" t="n"/>
      <c r="D25" s="15" t="n"/>
      <c r="E25" s="44">
        <f>SUM(E5:E24)</f>
        <v/>
      </c>
      <c r="F25" s="15" t="n"/>
      <c r="G25" s="45">
        <f>SUM(G5:G24)</f>
        <v/>
      </c>
      <c r="H25" s="15" t="n"/>
      <c r="I25" s="46">
        <f>MAX(I5:I24)</f>
        <v/>
      </c>
      <c r="J25" s="47">
        <f>IF(I25&gt;0, G25/I25, 0)</f>
        <v/>
      </c>
    </row>
  </sheetData>
  <mergeCells count="3">
    <mergeCell ref="A1:C1"/>
    <mergeCell ref="A25:D25"/>
    <mergeCell ref="A2:C2"/>
  </mergeCells>
  <dataValidations count="3">
    <dataValidation sqref="A5:A100" showDropDown="0" showInputMessage="0" showErrorMessage="0" allowBlank="1" type="list">
      <formula1>"مذخر الكوت مباشر,1-Kut,2-Kut,3-Kut,4-Kut,5-Kut,6-Kut,7-Kut"</formula1>
    </dataValidation>
    <dataValidation sqref="C5:C100" showDropDown="0" showInputMessage="0" showErrorMessage="0" allowBlank="1" type="list">
      <formula1>"LDP,MEDREICH"</formula1>
    </dataValidation>
    <dataValidation sqref="D5:D100" showDropDown="0" showInputMessage="0" showErrorMessage="0" allowBlank="1" type="list">
      <formula1>'المواد والأسعار'!$A$2:$A$17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17" customWidth="1" min="5" max="5"/>
    <col width="23" customWidth="1" min="6" max="6"/>
    <col width="18" customWidth="1" min="7" max="7"/>
    <col width="15" customWidth="1" min="8" max="8"/>
    <col width="19" customWidth="1" min="9" max="9"/>
    <col width="17" customWidth="1" min="10" max="10"/>
  </cols>
  <sheetData>
    <row r="1">
      <c r="A1" s="27" t="inlineStr">
        <is>
          <t>سجل مبيعات ومندوبي محافظة العمارة</t>
        </is>
      </c>
      <c r="D1" s="28" t="inlineStr">
        <is>
          <t>إجمالي المبيعات</t>
        </is>
      </c>
      <c r="E1" s="28" t="inlineStr">
        <is>
          <t>إجمالي القطع</t>
        </is>
      </c>
      <c r="F1" s="29" t="inlineStr">
        <is>
          <t>نسبة تحقيق التارجت</t>
        </is>
      </c>
    </row>
    <row r="2">
      <c r="A2" s="30" t="inlineStr">
        <is>
          <t>الهدف المالي الشهري: 20,000,000 د.ع</t>
        </is>
      </c>
      <c r="D2" s="31">
        <f>SUM(G5:G100)</f>
        <v/>
      </c>
      <c r="E2" s="32">
        <f>SUM(E5:E100)</f>
        <v/>
      </c>
      <c r="F2" s="33">
        <f>IF(I5&gt;0, D2/I5, D2/20000000)</f>
        <v/>
      </c>
    </row>
    <row r="3" ht="10" customHeight="1"/>
    <row r="4" ht="28" customHeight="1">
      <c r="A4" s="2" t="inlineStr">
        <is>
          <t>المندوب</t>
        </is>
      </c>
      <c r="B4" s="2" t="inlineStr">
        <is>
          <t>المحافظة</t>
        </is>
      </c>
      <c r="C4" s="2" t="inlineStr">
        <is>
          <t>الشركة</t>
        </is>
      </c>
      <c r="D4" s="2" t="inlineStr">
        <is>
          <t>المادة</t>
        </is>
      </c>
      <c r="E4" s="2" t="inlineStr">
        <is>
          <t>العدد</t>
        </is>
      </c>
      <c r="F4" s="2" t="inlineStr">
        <is>
          <t>سعر المادة</t>
        </is>
      </c>
      <c r="G4" s="2" t="inlineStr">
        <is>
          <t>اجمالي المبلغ</t>
        </is>
      </c>
      <c r="H4" s="2" t="inlineStr">
        <is>
          <t>التاريخ</t>
        </is>
      </c>
      <c r="I4" s="2" t="inlineStr">
        <is>
          <t>تاركت المحافظة</t>
        </is>
      </c>
      <c r="J4" s="2" t="inlineStr">
        <is>
          <t>نسبه الانجاز</t>
        </is>
      </c>
    </row>
    <row r="5" ht="24" customHeight="1">
      <c r="A5" s="24" t="inlineStr">
        <is>
          <t>1-Amara</t>
        </is>
      </c>
      <c r="B5" s="24" t="inlineStr">
        <is>
          <t>العمارة</t>
        </is>
      </c>
      <c r="C5" s="24" t="inlineStr">
        <is>
          <t>LDP</t>
        </is>
      </c>
      <c r="D5" s="24" t="inlineStr">
        <is>
          <t>Paracetamol</t>
        </is>
      </c>
      <c r="E5" s="23" t="n">
        <v>400</v>
      </c>
      <c r="F5" s="34">
        <f>IFERROR(VLOOKUP(D5, 'المواد والأسعار'!$A$2:$B$20, 2, FALSE), 0)</f>
        <v/>
      </c>
      <c r="G5" s="12">
        <f>E5*F5</f>
        <v/>
      </c>
      <c r="H5" s="23" t="inlineStr">
        <is>
          <t>2026-08-15</t>
        </is>
      </c>
      <c r="I5" s="34">
        <f>IFERROR(SUMIFS('تارجت المحافظات'!$D$2:$D$50, 'تارجت المحافظات'!$C$2:$C$50, B5, 'تارجت المحافظات'!$B$2:$B$50, MONTH(H5)), 20000000)</f>
        <v/>
      </c>
      <c r="J5" s="35">
        <f>IF(I5&gt;0, G5/I5, 0)</f>
        <v/>
      </c>
    </row>
    <row r="6" ht="24" customHeight="1">
      <c r="A6" s="22" t="inlineStr">
        <is>
          <t>2-Amara</t>
        </is>
      </c>
      <c r="B6" s="22" t="inlineStr">
        <is>
          <t>العمارة</t>
        </is>
      </c>
      <c r="C6" s="22" t="inlineStr">
        <is>
          <t>MEDREICH</t>
        </is>
      </c>
      <c r="D6" s="22" t="inlineStr">
        <is>
          <t>Amoxicillin</t>
        </is>
      </c>
      <c r="E6" s="21" t="n">
        <v>300</v>
      </c>
      <c r="F6" s="36">
        <f>IFERROR(VLOOKUP(D6, 'المواد والأسعار'!$A$2:$B$20, 2, FALSE), 0)</f>
        <v/>
      </c>
      <c r="G6" s="6">
        <f>E6*F6</f>
        <v/>
      </c>
      <c r="H6" s="21" t="inlineStr">
        <is>
          <t>2026-08-16</t>
        </is>
      </c>
      <c r="I6" s="36">
        <f>IFERROR(SUMIFS('تارجت المحافظات'!$D$2:$D$50, 'تارجت المحافظات'!$C$2:$C$50, B6, 'تارجت المحافظات'!$B$2:$B$50, MONTH(H6)), 20000000)</f>
        <v/>
      </c>
      <c r="J6" s="37">
        <f>IF(I6&gt;0, G6/I6, 0)</f>
        <v/>
      </c>
    </row>
    <row r="7" ht="24" customHeight="1">
      <c r="A7" s="24" t="inlineStr">
        <is>
          <t>مذخر العمارة مباشر</t>
        </is>
      </c>
      <c r="B7" s="24" t="inlineStr">
        <is>
          <t>العمارة</t>
        </is>
      </c>
      <c r="C7" s="24" t="inlineStr">
        <is>
          <t>LDP</t>
        </is>
      </c>
      <c r="D7" s="24" t="inlineStr">
        <is>
          <t>Ibuprofen</t>
        </is>
      </c>
      <c r="E7" s="23" t="n">
        <v>700</v>
      </c>
      <c r="F7" s="34">
        <f>IFERROR(VLOOKUP(D7, 'المواد والأسعار'!$A$2:$B$20, 2, FALSE), 0)</f>
        <v/>
      </c>
      <c r="G7" s="12">
        <f>E7*F7</f>
        <v/>
      </c>
      <c r="H7" s="23" t="inlineStr">
        <is>
          <t>2026-08-17</t>
        </is>
      </c>
      <c r="I7" s="34">
        <f>IFERROR(SUMIFS('تارجت المحافظات'!$D$2:$D$50, 'تارجت المحافظات'!$C$2:$C$50, B7, 'تارجت المحافظات'!$B$2:$B$50, MONTH(H7)), 20000000)</f>
        <v/>
      </c>
      <c r="J7" s="35">
        <f>IF(I7&gt;0, G7/I7, 0)</f>
        <v/>
      </c>
    </row>
    <row r="8" ht="24" customHeight="1">
      <c r="A8" s="22" t="inlineStr">
        <is>
          <t>3-Amara</t>
        </is>
      </c>
      <c r="B8" s="22" t="inlineStr">
        <is>
          <t>العمارة</t>
        </is>
      </c>
      <c r="C8" s="22" t="inlineStr">
        <is>
          <t>MEDREICH</t>
        </is>
      </c>
      <c r="D8" s="22" t="inlineStr">
        <is>
          <t>Atorvastatin</t>
        </is>
      </c>
      <c r="E8" s="21" t="n">
        <v>250</v>
      </c>
      <c r="F8" s="36">
        <f>IFERROR(VLOOKUP(D8, 'المواد والأسعار'!$A$2:$B$20, 2, FALSE), 0)</f>
        <v/>
      </c>
      <c r="G8" s="6">
        <f>E8*F8</f>
        <v/>
      </c>
      <c r="H8" s="21" t="inlineStr">
        <is>
          <t>2026-08-18</t>
        </is>
      </c>
      <c r="I8" s="36">
        <f>IFERROR(SUMIFS('تارجت المحافظات'!$D$2:$D$50, 'تارجت المحافظات'!$C$2:$C$50, B8, 'تارجت المحافظات'!$B$2:$B$50, MONTH(H8)), 20000000)</f>
        <v/>
      </c>
      <c r="J8" s="37">
        <f>IF(I8&gt;0, G8/I8, 0)</f>
        <v/>
      </c>
    </row>
    <row r="9" ht="22" customHeight="1">
      <c r="A9" s="41" t="n"/>
      <c r="B9" s="41" t="inlineStr">
        <is>
          <t>العمارة</t>
        </is>
      </c>
      <c r="C9" s="41" t="n"/>
      <c r="D9" s="41" t="n"/>
      <c r="E9" s="41" t="n"/>
      <c r="F9" s="42">
        <f>IFERROR(VLOOKUP(D9, 'المواد والأسعار'!$A$2:$B$20, 2, FALSE), 0)</f>
        <v/>
      </c>
      <c r="G9" s="42">
        <f>IF(E9&gt;0, E9*F9, 0)</f>
        <v/>
      </c>
      <c r="H9" s="41" t="n"/>
      <c r="I9" s="42">
        <f>IFERROR(SUMIFS('تارجت المحافظات'!$D$2:$D$50, 'تارجت المحافظات'!$C$2:$C$50, B9, 'تارجت المحافظات'!$B$2:$B$50, MONTH(H9)), 20000000)</f>
        <v/>
      </c>
      <c r="J9" s="43">
        <f>IF(I9&gt;0, G9/I9, 0)</f>
        <v/>
      </c>
    </row>
    <row r="10" ht="22" customHeight="1">
      <c r="A10" s="38" t="n"/>
      <c r="B10" s="38" t="inlineStr">
        <is>
          <t>العمارة</t>
        </is>
      </c>
      <c r="C10" s="38" t="n"/>
      <c r="D10" s="38" t="n"/>
      <c r="E10" s="38" t="n"/>
      <c r="F10" s="39">
        <f>IFERROR(VLOOKUP(D10, 'المواد والأسعار'!$A$2:$B$20, 2, FALSE), 0)</f>
        <v/>
      </c>
      <c r="G10" s="39">
        <f>IF(E10&gt;0, E10*F10, 0)</f>
        <v/>
      </c>
      <c r="H10" s="38" t="n"/>
      <c r="I10" s="39">
        <f>IFERROR(SUMIFS('تارجت المحافظات'!$D$2:$D$50, 'تارجت المحافظات'!$C$2:$C$50, B10, 'تارجت المحافظات'!$B$2:$B$50, MONTH(H10)), 20000000)</f>
        <v/>
      </c>
      <c r="J10" s="40">
        <f>IF(I10&gt;0, G10/I10, 0)</f>
        <v/>
      </c>
    </row>
    <row r="11" ht="22" customHeight="1">
      <c r="A11" s="41" t="n"/>
      <c r="B11" s="41" t="inlineStr">
        <is>
          <t>العمارة</t>
        </is>
      </c>
      <c r="C11" s="41" t="n"/>
      <c r="D11" s="41" t="n"/>
      <c r="E11" s="41" t="n"/>
      <c r="F11" s="42">
        <f>IFERROR(VLOOKUP(D11, 'المواد والأسعار'!$A$2:$B$20, 2, FALSE), 0)</f>
        <v/>
      </c>
      <c r="G11" s="42">
        <f>IF(E11&gt;0, E11*F11, 0)</f>
        <v/>
      </c>
      <c r="H11" s="41" t="n"/>
      <c r="I11" s="42">
        <f>IFERROR(SUMIFS('تارجت المحافظات'!$D$2:$D$50, 'تارجت المحافظات'!$C$2:$C$50, B11, 'تارجت المحافظات'!$B$2:$B$50, MONTH(H11)), 20000000)</f>
        <v/>
      </c>
      <c r="J11" s="43">
        <f>IF(I11&gt;0, G11/I11, 0)</f>
        <v/>
      </c>
    </row>
    <row r="12" ht="22" customHeight="1">
      <c r="A12" s="38" t="n"/>
      <c r="B12" s="38" t="inlineStr">
        <is>
          <t>العمارة</t>
        </is>
      </c>
      <c r="C12" s="38" t="n"/>
      <c r="D12" s="38" t="n"/>
      <c r="E12" s="38" t="n"/>
      <c r="F12" s="39">
        <f>IFERROR(VLOOKUP(D12, 'المواد والأسعار'!$A$2:$B$20, 2, FALSE), 0)</f>
        <v/>
      </c>
      <c r="G12" s="39">
        <f>IF(E12&gt;0, E12*F12, 0)</f>
        <v/>
      </c>
      <c r="H12" s="38" t="n"/>
      <c r="I12" s="39">
        <f>IFERROR(SUMIFS('تارجت المحافظات'!$D$2:$D$50, 'تارجت المحافظات'!$C$2:$C$50, B12, 'تارجت المحافظات'!$B$2:$B$50, MONTH(H12)), 20000000)</f>
        <v/>
      </c>
      <c r="J12" s="40">
        <f>IF(I12&gt;0, G12/I12, 0)</f>
        <v/>
      </c>
    </row>
    <row r="13" ht="22" customHeight="1">
      <c r="A13" s="41" t="n"/>
      <c r="B13" s="41" t="inlineStr">
        <is>
          <t>العمارة</t>
        </is>
      </c>
      <c r="C13" s="41" t="n"/>
      <c r="D13" s="41" t="n"/>
      <c r="E13" s="41" t="n"/>
      <c r="F13" s="42">
        <f>IFERROR(VLOOKUP(D13, 'المواد والأسعار'!$A$2:$B$20, 2, FALSE), 0)</f>
        <v/>
      </c>
      <c r="G13" s="42">
        <f>IF(E13&gt;0, E13*F13, 0)</f>
        <v/>
      </c>
      <c r="H13" s="41" t="n"/>
      <c r="I13" s="42">
        <f>IFERROR(SUMIFS('تارجت المحافظات'!$D$2:$D$50, 'تارجت المحافظات'!$C$2:$C$50, B13, 'تارجت المحافظات'!$B$2:$B$50, MONTH(H13)), 20000000)</f>
        <v/>
      </c>
      <c r="J13" s="43">
        <f>IF(I13&gt;0, G13/I13, 0)</f>
        <v/>
      </c>
    </row>
    <row r="14" ht="22" customHeight="1">
      <c r="A14" s="38" t="n"/>
      <c r="B14" s="38" t="inlineStr">
        <is>
          <t>العمارة</t>
        </is>
      </c>
      <c r="C14" s="38" t="n"/>
      <c r="D14" s="38" t="n"/>
      <c r="E14" s="38" t="n"/>
      <c r="F14" s="39">
        <f>IFERROR(VLOOKUP(D14, 'المواد والأسعار'!$A$2:$B$20, 2, FALSE), 0)</f>
        <v/>
      </c>
      <c r="G14" s="39">
        <f>IF(E14&gt;0, E14*F14, 0)</f>
        <v/>
      </c>
      <c r="H14" s="38" t="n"/>
      <c r="I14" s="39">
        <f>IFERROR(SUMIFS('تارجت المحافظات'!$D$2:$D$50, 'تارجت المحافظات'!$C$2:$C$50, B14, 'تارجت المحافظات'!$B$2:$B$50, MONTH(H14)), 20000000)</f>
        <v/>
      </c>
      <c r="J14" s="40">
        <f>IF(I14&gt;0, G14/I14, 0)</f>
        <v/>
      </c>
    </row>
    <row r="15" ht="22" customHeight="1">
      <c r="A15" s="41" t="n"/>
      <c r="B15" s="41" t="inlineStr">
        <is>
          <t>العمارة</t>
        </is>
      </c>
      <c r="C15" s="41" t="n"/>
      <c r="D15" s="41" t="n"/>
      <c r="E15" s="41" t="n"/>
      <c r="F15" s="42">
        <f>IFERROR(VLOOKUP(D15, 'المواد والأسعار'!$A$2:$B$20, 2, FALSE), 0)</f>
        <v/>
      </c>
      <c r="G15" s="42">
        <f>IF(E15&gt;0, E15*F15, 0)</f>
        <v/>
      </c>
      <c r="H15" s="41" t="n"/>
      <c r="I15" s="42">
        <f>IFERROR(SUMIFS('تارجت المحافظات'!$D$2:$D$50, 'تارجت المحافظات'!$C$2:$C$50, B15, 'تارجت المحافظات'!$B$2:$B$50, MONTH(H15)), 20000000)</f>
        <v/>
      </c>
      <c r="J15" s="43">
        <f>IF(I15&gt;0, G15/I15, 0)</f>
        <v/>
      </c>
    </row>
    <row r="16" ht="22" customHeight="1">
      <c r="A16" s="38" t="n"/>
      <c r="B16" s="38" t="inlineStr">
        <is>
          <t>العمارة</t>
        </is>
      </c>
      <c r="C16" s="38" t="n"/>
      <c r="D16" s="38" t="n"/>
      <c r="E16" s="38" t="n"/>
      <c r="F16" s="39">
        <f>IFERROR(VLOOKUP(D16, 'المواد والأسعار'!$A$2:$B$20, 2, FALSE), 0)</f>
        <v/>
      </c>
      <c r="G16" s="39">
        <f>IF(E16&gt;0, E16*F16, 0)</f>
        <v/>
      </c>
      <c r="H16" s="38" t="n"/>
      <c r="I16" s="39">
        <f>IFERROR(SUMIFS('تارجت المحافظات'!$D$2:$D$50, 'تارجت المحافظات'!$C$2:$C$50, B16, 'تارجت المحافظات'!$B$2:$B$50, MONTH(H16)), 20000000)</f>
        <v/>
      </c>
      <c r="J16" s="40">
        <f>IF(I16&gt;0, G16/I16, 0)</f>
        <v/>
      </c>
    </row>
    <row r="17" ht="22" customHeight="1">
      <c r="A17" s="41" t="n"/>
      <c r="B17" s="41" t="inlineStr">
        <is>
          <t>العمارة</t>
        </is>
      </c>
      <c r="C17" s="41" t="n"/>
      <c r="D17" s="41" t="n"/>
      <c r="E17" s="41" t="n"/>
      <c r="F17" s="42">
        <f>IFERROR(VLOOKUP(D17, 'المواد والأسعار'!$A$2:$B$20, 2, FALSE), 0)</f>
        <v/>
      </c>
      <c r="G17" s="42">
        <f>IF(E17&gt;0, E17*F17, 0)</f>
        <v/>
      </c>
      <c r="H17" s="41" t="n"/>
      <c r="I17" s="42">
        <f>IFERROR(SUMIFS('تارجت المحافظات'!$D$2:$D$50, 'تارجت المحافظات'!$C$2:$C$50, B17, 'تارجت المحافظات'!$B$2:$B$50, MONTH(H17)), 20000000)</f>
        <v/>
      </c>
      <c r="J17" s="43">
        <f>IF(I17&gt;0, G17/I17, 0)</f>
        <v/>
      </c>
    </row>
    <row r="18" ht="22" customHeight="1">
      <c r="A18" s="38" t="n"/>
      <c r="B18" s="38" t="inlineStr">
        <is>
          <t>العمارة</t>
        </is>
      </c>
      <c r="C18" s="38" t="n"/>
      <c r="D18" s="38" t="n"/>
      <c r="E18" s="38" t="n"/>
      <c r="F18" s="39">
        <f>IFERROR(VLOOKUP(D18, 'المواد والأسعار'!$A$2:$B$20, 2, FALSE), 0)</f>
        <v/>
      </c>
      <c r="G18" s="39">
        <f>IF(E18&gt;0, E18*F18, 0)</f>
        <v/>
      </c>
      <c r="H18" s="38" t="n"/>
      <c r="I18" s="39">
        <f>IFERROR(SUMIFS('تارجت المحافظات'!$D$2:$D$50, 'تارجت المحافظات'!$C$2:$C$50, B18, 'تارجت المحافظات'!$B$2:$B$50, MONTH(H18)), 20000000)</f>
        <v/>
      </c>
      <c r="J18" s="40">
        <f>IF(I18&gt;0, G18/I18, 0)</f>
        <v/>
      </c>
    </row>
    <row r="19" ht="22" customHeight="1">
      <c r="A19" s="41" t="n"/>
      <c r="B19" s="41" t="inlineStr">
        <is>
          <t>العمارة</t>
        </is>
      </c>
      <c r="C19" s="41" t="n"/>
      <c r="D19" s="41" t="n"/>
      <c r="E19" s="41" t="n"/>
      <c r="F19" s="42">
        <f>IFERROR(VLOOKUP(D19, 'المواد والأسعار'!$A$2:$B$20, 2, FALSE), 0)</f>
        <v/>
      </c>
      <c r="G19" s="42">
        <f>IF(E19&gt;0, E19*F19, 0)</f>
        <v/>
      </c>
      <c r="H19" s="41" t="n"/>
      <c r="I19" s="42">
        <f>IFERROR(SUMIFS('تارجت المحافظات'!$D$2:$D$50, 'تارجت المحافظات'!$C$2:$C$50, B19, 'تارجت المحافظات'!$B$2:$B$50, MONTH(H19)), 20000000)</f>
        <v/>
      </c>
      <c r="J19" s="43">
        <f>IF(I19&gt;0, G19/I19, 0)</f>
        <v/>
      </c>
    </row>
    <row r="20" ht="22" customHeight="1">
      <c r="A20" s="38" t="n"/>
      <c r="B20" s="38" t="inlineStr">
        <is>
          <t>العمارة</t>
        </is>
      </c>
      <c r="C20" s="38" t="n"/>
      <c r="D20" s="38" t="n"/>
      <c r="E20" s="38" t="n"/>
      <c r="F20" s="39">
        <f>IFERROR(VLOOKUP(D20, 'المواد والأسعار'!$A$2:$B$20, 2, FALSE), 0)</f>
        <v/>
      </c>
      <c r="G20" s="39">
        <f>IF(E20&gt;0, E20*F20, 0)</f>
        <v/>
      </c>
      <c r="H20" s="38" t="n"/>
      <c r="I20" s="39">
        <f>IFERROR(SUMIFS('تارجت المحافظات'!$D$2:$D$50, 'تارجت المحافظات'!$C$2:$C$50, B20, 'تارجت المحافظات'!$B$2:$B$50, MONTH(H20)), 20000000)</f>
        <v/>
      </c>
      <c r="J20" s="40">
        <f>IF(I20&gt;0, G20/I20, 0)</f>
        <v/>
      </c>
    </row>
    <row r="21" ht="22" customHeight="1">
      <c r="A21" s="41" t="n"/>
      <c r="B21" s="41" t="inlineStr">
        <is>
          <t>العمارة</t>
        </is>
      </c>
      <c r="C21" s="41" t="n"/>
      <c r="D21" s="41" t="n"/>
      <c r="E21" s="41" t="n"/>
      <c r="F21" s="42">
        <f>IFERROR(VLOOKUP(D21, 'المواد والأسعار'!$A$2:$B$20, 2, FALSE), 0)</f>
        <v/>
      </c>
      <c r="G21" s="42">
        <f>IF(E21&gt;0, E21*F21, 0)</f>
        <v/>
      </c>
      <c r="H21" s="41" t="n"/>
      <c r="I21" s="42">
        <f>IFERROR(SUMIFS('تارجت المحافظات'!$D$2:$D$50, 'تارجت المحافظات'!$C$2:$C$50, B21, 'تارجت المحافظات'!$B$2:$B$50, MONTH(H21)), 20000000)</f>
        <v/>
      </c>
      <c r="J21" s="43">
        <f>IF(I21&gt;0, G21/I21, 0)</f>
        <v/>
      </c>
    </row>
    <row r="22" ht="22" customHeight="1">
      <c r="A22" s="38" t="n"/>
      <c r="B22" s="38" t="inlineStr">
        <is>
          <t>العمارة</t>
        </is>
      </c>
      <c r="C22" s="38" t="n"/>
      <c r="D22" s="38" t="n"/>
      <c r="E22" s="38" t="n"/>
      <c r="F22" s="39">
        <f>IFERROR(VLOOKUP(D22, 'المواد والأسعار'!$A$2:$B$20, 2, FALSE), 0)</f>
        <v/>
      </c>
      <c r="G22" s="39">
        <f>IF(E22&gt;0, E22*F22, 0)</f>
        <v/>
      </c>
      <c r="H22" s="38" t="n"/>
      <c r="I22" s="39">
        <f>IFERROR(SUMIFS('تارجت المحافظات'!$D$2:$D$50, 'تارجت المحافظات'!$C$2:$C$50, B22, 'تارجت المحافظات'!$B$2:$B$50, MONTH(H22)), 20000000)</f>
        <v/>
      </c>
      <c r="J22" s="40">
        <f>IF(I22&gt;0, G22/I22, 0)</f>
        <v/>
      </c>
    </row>
    <row r="23" ht="22" customHeight="1">
      <c r="A23" s="41" t="n"/>
      <c r="B23" s="41" t="inlineStr">
        <is>
          <t>العمارة</t>
        </is>
      </c>
      <c r="C23" s="41" t="n"/>
      <c r="D23" s="41" t="n"/>
      <c r="E23" s="41" t="n"/>
      <c r="F23" s="42">
        <f>IFERROR(VLOOKUP(D23, 'المواد والأسعار'!$A$2:$B$20, 2, FALSE), 0)</f>
        <v/>
      </c>
      <c r="G23" s="42">
        <f>IF(E23&gt;0, E23*F23, 0)</f>
        <v/>
      </c>
      <c r="H23" s="41" t="n"/>
      <c r="I23" s="42">
        <f>IFERROR(SUMIFS('تارجت المحافظات'!$D$2:$D$50, 'تارجت المحافظات'!$C$2:$C$50, B23, 'تارجت المحافظات'!$B$2:$B$50, MONTH(H23)), 20000000)</f>
        <v/>
      </c>
      <c r="J23" s="43">
        <f>IF(I23&gt;0, G23/I23, 0)</f>
        <v/>
      </c>
    </row>
    <row r="24" ht="26" customHeight="1">
      <c r="A24" s="14" t="inlineStr">
        <is>
          <t>الإجمالي العام للمحافظة</t>
        </is>
      </c>
      <c r="B24" s="15" t="n"/>
      <c r="C24" s="15" t="n"/>
      <c r="D24" s="15" t="n"/>
      <c r="E24" s="44">
        <f>SUM(E5:E23)</f>
        <v/>
      </c>
      <c r="F24" s="15" t="n"/>
      <c r="G24" s="45">
        <f>SUM(G5:G23)</f>
        <v/>
      </c>
      <c r="H24" s="15" t="n"/>
      <c r="I24" s="46">
        <f>MAX(I5:I23)</f>
        <v/>
      </c>
      <c r="J24" s="47">
        <f>IF(I24&gt;0, G24/I24, 0)</f>
        <v/>
      </c>
    </row>
  </sheetData>
  <mergeCells count="3">
    <mergeCell ref="A1:C1"/>
    <mergeCell ref="A24:D24"/>
    <mergeCell ref="A2:C2"/>
  </mergeCells>
  <dataValidations count="3">
    <dataValidation sqref="A5:A100" showDropDown="0" showInputMessage="0" showErrorMessage="0" allowBlank="1" type="list">
      <formula1>"مذخر العمارة مباشر,1-Amara,2-Amara,3-Amara,4-Amara,5-Amara,6-Amara,7-Amara"</formula1>
    </dataValidation>
    <dataValidation sqref="C5:C100" showDropDown="0" showInputMessage="0" showErrorMessage="0" allowBlank="1" type="list">
      <formula1>"LDP,MEDREICH"</formula1>
    </dataValidation>
    <dataValidation sqref="D5:D100" showDropDown="0" showInputMessage="0" showErrorMessage="0" allowBlank="1" type="list">
      <formula1>'المواد والأسعار'!$A$2:$A$17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17" customWidth="1" min="5" max="5"/>
    <col width="23" customWidth="1" min="6" max="6"/>
    <col width="18" customWidth="1" min="7" max="7"/>
    <col width="15" customWidth="1" min="8" max="8"/>
    <col width="19" customWidth="1" min="9" max="9"/>
    <col width="17" customWidth="1" min="10" max="10"/>
  </cols>
  <sheetData>
    <row r="1">
      <c r="A1" s="27" t="inlineStr">
        <is>
          <t>سجل مبيعات ومندوبي محافظة البصرة</t>
        </is>
      </c>
      <c r="D1" s="28" t="inlineStr">
        <is>
          <t>إجمالي المبيعات</t>
        </is>
      </c>
      <c r="E1" s="28" t="inlineStr">
        <is>
          <t>إجمالي القطع</t>
        </is>
      </c>
      <c r="F1" s="29" t="inlineStr">
        <is>
          <t>نسبة تحقيق التارجت</t>
        </is>
      </c>
    </row>
    <row r="2">
      <c r="A2" s="30" t="inlineStr">
        <is>
          <t>الهدف المالي الشهري: 35,000,000 د.ع</t>
        </is>
      </c>
      <c r="D2" s="31">
        <f>SUM(G5:G100)</f>
        <v/>
      </c>
      <c r="E2" s="32">
        <f>SUM(E5:E100)</f>
        <v/>
      </c>
      <c r="F2" s="33">
        <f>IF(I5&gt;0, D2/I5, D2/35000000)</f>
        <v/>
      </c>
    </row>
    <row r="3" ht="10" customHeight="1"/>
    <row r="4" ht="28" customHeight="1">
      <c r="A4" s="2" t="inlineStr">
        <is>
          <t>المندوب</t>
        </is>
      </c>
      <c r="B4" s="2" t="inlineStr">
        <is>
          <t>المحافظة</t>
        </is>
      </c>
      <c r="C4" s="2" t="inlineStr">
        <is>
          <t>الشركة</t>
        </is>
      </c>
      <c r="D4" s="2" t="inlineStr">
        <is>
          <t>المادة</t>
        </is>
      </c>
      <c r="E4" s="2" t="inlineStr">
        <is>
          <t>العدد</t>
        </is>
      </c>
      <c r="F4" s="2" t="inlineStr">
        <is>
          <t>سعر المادة</t>
        </is>
      </c>
      <c r="G4" s="2" t="inlineStr">
        <is>
          <t>اجمالي المبلغ</t>
        </is>
      </c>
      <c r="H4" s="2" t="inlineStr">
        <is>
          <t>التاريخ</t>
        </is>
      </c>
      <c r="I4" s="2" t="inlineStr">
        <is>
          <t>تاركت المحافظة</t>
        </is>
      </c>
      <c r="J4" s="2" t="inlineStr">
        <is>
          <t>نسبه الانجاز</t>
        </is>
      </c>
    </row>
    <row r="5" ht="24" customHeight="1">
      <c r="A5" s="24" t="inlineStr">
        <is>
          <t>1-Basra</t>
        </is>
      </c>
      <c r="B5" s="24" t="inlineStr">
        <is>
          <t>البصرة</t>
        </is>
      </c>
      <c r="C5" s="24" t="inlineStr">
        <is>
          <t>LDP</t>
        </is>
      </c>
      <c r="D5" s="24" t="inlineStr">
        <is>
          <t>Azithromycin</t>
        </is>
      </c>
      <c r="E5" s="23" t="n">
        <v>1200</v>
      </c>
      <c r="F5" s="34">
        <f>IFERROR(VLOOKUP(D5, 'المواد والأسعار'!$A$2:$B$20, 2, FALSE), 0)</f>
        <v/>
      </c>
      <c r="G5" s="12">
        <f>E5*F5</f>
        <v/>
      </c>
      <c r="H5" s="23" t="inlineStr">
        <is>
          <t>2026-08-15</t>
        </is>
      </c>
      <c r="I5" s="34">
        <f>IFERROR(SUMIFS('تارجت المحافظات'!$D$2:$D$50, 'تارجت المحافظات'!$C$2:$C$50, B5, 'تارجت المحافظات'!$B$2:$B$50, MONTH(H5)), 35000000)</f>
        <v/>
      </c>
      <c r="J5" s="35">
        <f>IF(I5&gt;0, G5/I5, 0)</f>
        <v/>
      </c>
    </row>
    <row r="6" ht="24" customHeight="1">
      <c r="A6" s="22" t="inlineStr">
        <is>
          <t>2-Basra</t>
        </is>
      </c>
      <c r="B6" s="22" t="inlineStr">
        <is>
          <t>البصرة</t>
        </is>
      </c>
      <c r="C6" s="22" t="inlineStr">
        <is>
          <t>MEDREICH</t>
        </is>
      </c>
      <c r="D6" s="22" t="inlineStr">
        <is>
          <t>Amoxicillin</t>
        </is>
      </c>
      <c r="E6" s="21" t="n">
        <v>800</v>
      </c>
      <c r="F6" s="36">
        <f>IFERROR(VLOOKUP(D6, 'المواد والأسعار'!$A$2:$B$20, 2, FALSE), 0)</f>
        <v/>
      </c>
      <c r="G6" s="6">
        <f>E6*F6</f>
        <v/>
      </c>
      <c r="H6" s="21" t="inlineStr">
        <is>
          <t>2026-08-16</t>
        </is>
      </c>
      <c r="I6" s="36">
        <f>IFERROR(SUMIFS('تارجت المحافظات'!$D$2:$D$50, 'تارجت المحافظات'!$C$2:$C$50, B6, 'تارجت المحافظات'!$B$2:$B$50, MONTH(H6)), 35000000)</f>
        <v/>
      </c>
      <c r="J6" s="37">
        <f>IF(I6&gt;0, G6/I6, 0)</f>
        <v/>
      </c>
    </row>
    <row r="7" ht="24" customHeight="1">
      <c r="A7" s="24" t="inlineStr">
        <is>
          <t>مذخر البصرة مباشر</t>
        </is>
      </c>
      <c r="B7" s="24" t="inlineStr">
        <is>
          <t>البصرة</t>
        </is>
      </c>
      <c r="C7" s="24" t="inlineStr">
        <is>
          <t>LDP</t>
        </is>
      </c>
      <c r="D7" s="24" t="inlineStr">
        <is>
          <t>Paracetamol</t>
        </is>
      </c>
      <c r="E7" s="23" t="n">
        <v>2000</v>
      </c>
      <c r="F7" s="34">
        <f>IFERROR(VLOOKUP(D7, 'المواد والأسعار'!$A$2:$B$20, 2, FALSE), 0)</f>
        <v/>
      </c>
      <c r="G7" s="12">
        <f>E7*F7</f>
        <v/>
      </c>
      <c r="H7" s="23" t="inlineStr">
        <is>
          <t>2026-08-17</t>
        </is>
      </c>
      <c r="I7" s="34">
        <f>IFERROR(SUMIFS('تارجت المحافظات'!$D$2:$D$50, 'تارجت المحافظات'!$C$2:$C$50, B7, 'تارجت المحافظات'!$B$2:$B$50, MONTH(H7)), 35000000)</f>
        <v/>
      </c>
      <c r="J7" s="35">
        <f>IF(I7&gt;0, G7/I7, 0)</f>
        <v/>
      </c>
    </row>
    <row r="8" ht="24" customHeight="1">
      <c r="A8" s="22" t="inlineStr">
        <is>
          <t>3-Basra</t>
        </is>
      </c>
      <c r="B8" s="22" t="inlineStr">
        <is>
          <t>البصرة</t>
        </is>
      </c>
      <c r="C8" s="22" t="inlineStr">
        <is>
          <t>MEDREICH</t>
        </is>
      </c>
      <c r="D8" s="22" t="inlineStr">
        <is>
          <t>Atorvastatin</t>
        </is>
      </c>
      <c r="E8" s="21" t="n">
        <v>600</v>
      </c>
      <c r="F8" s="36">
        <f>IFERROR(VLOOKUP(D8, 'المواد والأسعار'!$A$2:$B$20, 2, FALSE), 0)</f>
        <v/>
      </c>
      <c r="G8" s="6">
        <f>E8*F8</f>
        <v/>
      </c>
      <c r="H8" s="21" t="inlineStr">
        <is>
          <t>2026-08-18</t>
        </is>
      </c>
      <c r="I8" s="36">
        <f>IFERROR(SUMIFS('تارجت المحافظات'!$D$2:$D$50, 'تارجت المحافظات'!$C$2:$C$50, B8, 'تارجت المحافظات'!$B$2:$B$50, MONTH(H8)), 35000000)</f>
        <v/>
      </c>
      <c r="J8" s="37">
        <f>IF(I8&gt;0, G8/I8, 0)</f>
        <v/>
      </c>
    </row>
    <row r="9" ht="24" customHeight="1">
      <c r="A9" s="24" t="inlineStr">
        <is>
          <t>4-Basra</t>
        </is>
      </c>
      <c r="B9" s="24" t="inlineStr">
        <is>
          <t>البصرة</t>
        </is>
      </c>
      <c r="C9" s="24" t="inlineStr">
        <is>
          <t>LDP</t>
        </is>
      </c>
      <c r="D9" s="24" t="inlineStr">
        <is>
          <t>Ciprofloxacin</t>
        </is>
      </c>
      <c r="E9" s="23" t="n">
        <v>900</v>
      </c>
      <c r="F9" s="34">
        <f>IFERROR(VLOOKUP(D9, 'المواد والأسعار'!$A$2:$B$20, 2, FALSE), 0)</f>
        <v/>
      </c>
      <c r="G9" s="12">
        <f>E9*F9</f>
        <v/>
      </c>
      <c r="H9" s="23" t="inlineStr">
        <is>
          <t>2026-08-19</t>
        </is>
      </c>
      <c r="I9" s="34">
        <f>IFERROR(SUMIFS('تارجت المحافظات'!$D$2:$D$50, 'تارجت المحافظات'!$C$2:$C$50, B9, 'تارجت المحافظات'!$B$2:$B$50, MONTH(H9)), 35000000)</f>
        <v/>
      </c>
      <c r="J9" s="35">
        <f>IF(I9&gt;0, G9/I9, 0)</f>
        <v/>
      </c>
    </row>
    <row r="10" ht="22" customHeight="1">
      <c r="A10" s="38" t="n"/>
      <c r="B10" s="38" t="inlineStr">
        <is>
          <t>البصرة</t>
        </is>
      </c>
      <c r="C10" s="38" t="n"/>
      <c r="D10" s="38" t="n"/>
      <c r="E10" s="38" t="n"/>
      <c r="F10" s="39">
        <f>IFERROR(VLOOKUP(D10, 'المواد والأسعار'!$A$2:$B$20, 2, FALSE), 0)</f>
        <v/>
      </c>
      <c r="G10" s="39">
        <f>IF(E10&gt;0, E10*F10, 0)</f>
        <v/>
      </c>
      <c r="H10" s="38" t="n"/>
      <c r="I10" s="39">
        <f>IFERROR(SUMIFS('تارجت المحافظات'!$D$2:$D$50, 'تارجت المحافظات'!$C$2:$C$50, B10, 'تارجت المحافظات'!$B$2:$B$50, MONTH(H10)), 35000000)</f>
        <v/>
      </c>
      <c r="J10" s="40">
        <f>IF(I10&gt;0, G10/I10, 0)</f>
        <v/>
      </c>
    </row>
    <row r="11" ht="22" customHeight="1">
      <c r="A11" s="41" t="n"/>
      <c r="B11" s="41" t="inlineStr">
        <is>
          <t>البصرة</t>
        </is>
      </c>
      <c r="C11" s="41" t="n"/>
      <c r="D11" s="41" t="n"/>
      <c r="E11" s="41" t="n"/>
      <c r="F11" s="42">
        <f>IFERROR(VLOOKUP(D11, 'المواد والأسعار'!$A$2:$B$20, 2, FALSE), 0)</f>
        <v/>
      </c>
      <c r="G11" s="42">
        <f>IF(E11&gt;0, E11*F11, 0)</f>
        <v/>
      </c>
      <c r="H11" s="41" t="n"/>
      <c r="I11" s="42">
        <f>IFERROR(SUMIFS('تارجت المحافظات'!$D$2:$D$50, 'تارجت المحافظات'!$C$2:$C$50, B11, 'تارجت المحافظات'!$B$2:$B$50, MONTH(H11)), 35000000)</f>
        <v/>
      </c>
      <c r="J11" s="43">
        <f>IF(I11&gt;0, G11/I11, 0)</f>
        <v/>
      </c>
    </row>
    <row r="12" ht="22" customHeight="1">
      <c r="A12" s="38" t="n"/>
      <c r="B12" s="38" t="inlineStr">
        <is>
          <t>البصرة</t>
        </is>
      </c>
      <c r="C12" s="38" t="n"/>
      <c r="D12" s="38" t="n"/>
      <c r="E12" s="38" t="n"/>
      <c r="F12" s="39">
        <f>IFERROR(VLOOKUP(D12, 'المواد والأسعار'!$A$2:$B$20, 2, FALSE), 0)</f>
        <v/>
      </c>
      <c r="G12" s="39">
        <f>IF(E12&gt;0, E12*F12, 0)</f>
        <v/>
      </c>
      <c r="H12" s="38" t="n"/>
      <c r="I12" s="39">
        <f>IFERROR(SUMIFS('تارجت المحافظات'!$D$2:$D$50, 'تارجت المحافظات'!$C$2:$C$50, B12, 'تارجت المحافظات'!$B$2:$B$50, MONTH(H12)), 35000000)</f>
        <v/>
      </c>
      <c r="J12" s="40">
        <f>IF(I12&gt;0, G12/I12, 0)</f>
        <v/>
      </c>
    </row>
    <row r="13" ht="22" customHeight="1">
      <c r="A13" s="41" t="n"/>
      <c r="B13" s="41" t="inlineStr">
        <is>
          <t>البصرة</t>
        </is>
      </c>
      <c r="C13" s="41" t="n"/>
      <c r="D13" s="41" t="n"/>
      <c r="E13" s="41" t="n"/>
      <c r="F13" s="42">
        <f>IFERROR(VLOOKUP(D13, 'المواد والأسعار'!$A$2:$B$20, 2, FALSE), 0)</f>
        <v/>
      </c>
      <c r="G13" s="42">
        <f>IF(E13&gt;0, E13*F13, 0)</f>
        <v/>
      </c>
      <c r="H13" s="41" t="n"/>
      <c r="I13" s="42">
        <f>IFERROR(SUMIFS('تارجت المحافظات'!$D$2:$D$50, 'تارجت المحافظات'!$C$2:$C$50, B13, 'تارجت المحافظات'!$B$2:$B$50, MONTH(H13)), 35000000)</f>
        <v/>
      </c>
      <c r="J13" s="43">
        <f>IF(I13&gt;0, G13/I13, 0)</f>
        <v/>
      </c>
    </row>
    <row r="14" ht="22" customHeight="1">
      <c r="A14" s="38" t="n"/>
      <c r="B14" s="38" t="inlineStr">
        <is>
          <t>البصرة</t>
        </is>
      </c>
      <c r="C14" s="38" t="n"/>
      <c r="D14" s="38" t="n"/>
      <c r="E14" s="38" t="n"/>
      <c r="F14" s="39">
        <f>IFERROR(VLOOKUP(D14, 'المواد والأسعار'!$A$2:$B$20, 2, FALSE), 0)</f>
        <v/>
      </c>
      <c r="G14" s="39">
        <f>IF(E14&gt;0, E14*F14, 0)</f>
        <v/>
      </c>
      <c r="H14" s="38" t="n"/>
      <c r="I14" s="39">
        <f>IFERROR(SUMIFS('تارجت المحافظات'!$D$2:$D$50, 'تارجت المحافظات'!$C$2:$C$50, B14, 'تارجت المحافظات'!$B$2:$B$50, MONTH(H14)), 35000000)</f>
        <v/>
      </c>
      <c r="J14" s="40">
        <f>IF(I14&gt;0, G14/I14, 0)</f>
        <v/>
      </c>
    </row>
    <row r="15" ht="22" customHeight="1">
      <c r="A15" s="41" t="n"/>
      <c r="B15" s="41" t="inlineStr">
        <is>
          <t>البصرة</t>
        </is>
      </c>
      <c r="C15" s="41" t="n"/>
      <c r="D15" s="41" t="n"/>
      <c r="E15" s="41" t="n"/>
      <c r="F15" s="42">
        <f>IFERROR(VLOOKUP(D15, 'المواد والأسعار'!$A$2:$B$20, 2, FALSE), 0)</f>
        <v/>
      </c>
      <c r="G15" s="42">
        <f>IF(E15&gt;0, E15*F15, 0)</f>
        <v/>
      </c>
      <c r="H15" s="41" t="n"/>
      <c r="I15" s="42">
        <f>IFERROR(SUMIFS('تارجت المحافظات'!$D$2:$D$50, 'تارجت المحافظات'!$C$2:$C$50, B15, 'تارجت المحافظات'!$B$2:$B$50, MONTH(H15)), 35000000)</f>
        <v/>
      </c>
      <c r="J15" s="43">
        <f>IF(I15&gt;0, G15/I15, 0)</f>
        <v/>
      </c>
    </row>
    <row r="16" ht="22" customHeight="1">
      <c r="A16" s="38" t="n"/>
      <c r="B16" s="38" t="inlineStr">
        <is>
          <t>البصرة</t>
        </is>
      </c>
      <c r="C16" s="38" t="n"/>
      <c r="D16" s="38" t="n"/>
      <c r="E16" s="38" t="n"/>
      <c r="F16" s="39">
        <f>IFERROR(VLOOKUP(D16, 'المواد والأسعار'!$A$2:$B$20, 2, FALSE), 0)</f>
        <v/>
      </c>
      <c r="G16" s="39">
        <f>IF(E16&gt;0, E16*F16, 0)</f>
        <v/>
      </c>
      <c r="H16" s="38" t="n"/>
      <c r="I16" s="39">
        <f>IFERROR(SUMIFS('تارجت المحافظات'!$D$2:$D$50, 'تارجت المحافظات'!$C$2:$C$50, B16, 'تارجت المحافظات'!$B$2:$B$50, MONTH(H16)), 35000000)</f>
        <v/>
      </c>
      <c r="J16" s="40">
        <f>IF(I16&gt;0, G16/I16, 0)</f>
        <v/>
      </c>
    </row>
    <row r="17" ht="22" customHeight="1">
      <c r="A17" s="41" t="n"/>
      <c r="B17" s="41" t="inlineStr">
        <is>
          <t>البصرة</t>
        </is>
      </c>
      <c r="C17" s="41" t="n"/>
      <c r="D17" s="41" t="n"/>
      <c r="E17" s="41" t="n"/>
      <c r="F17" s="42">
        <f>IFERROR(VLOOKUP(D17, 'المواد والأسعار'!$A$2:$B$20, 2, FALSE), 0)</f>
        <v/>
      </c>
      <c r="G17" s="42">
        <f>IF(E17&gt;0, E17*F17, 0)</f>
        <v/>
      </c>
      <c r="H17" s="41" t="n"/>
      <c r="I17" s="42">
        <f>IFERROR(SUMIFS('تارجت المحافظات'!$D$2:$D$50, 'تارجت المحافظات'!$C$2:$C$50, B17, 'تارجت المحافظات'!$B$2:$B$50, MONTH(H17)), 35000000)</f>
        <v/>
      </c>
      <c r="J17" s="43">
        <f>IF(I17&gt;0, G17/I17, 0)</f>
        <v/>
      </c>
    </row>
    <row r="18" ht="22" customHeight="1">
      <c r="A18" s="38" t="n"/>
      <c r="B18" s="38" t="inlineStr">
        <is>
          <t>البصرة</t>
        </is>
      </c>
      <c r="C18" s="38" t="n"/>
      <c r="D18" s="38" t="n"/>
      <c r="E18" s="38" t="n"/>
      <c r="F18" s="39">
        <f>IFERROR(VLOOKUP(D18, 'المواد والأسعار'!$A$2:$B$20, 2, FALSE), 0)</f>
        <v/>
      </c>
      <c r="G18" s="39">
        <f>IF(E18&gt;0, E18*F18, 0)</f>
        <v/>
      </c>
      <c r="H18" s="38" t="n"/>
      <c r="I18" s="39">
        <f>IFERROR(SUMIFS('تارجت المحافظات'!$D$2:$D$50, 'تارجت المحافظات'!$C$2:$C$50, B18, 'تارجت المحافظات'!$B$2:$B$50, MONTH(H18)), 35000000)</f>
        <v/>
      </c>
      <c r="J18" s="40">
        <f>IF(I18&gt;0, G18/I18, 0)</f>
        <v/>
      </c>
    </row>
    <row r="19" ht="22" customHeight="1">
      <c r="A19" s="41" t="n"/>
      <c r="B19" s="41" t="inlineStr">
        <is>
          <t>البصرة</t>
        </is>
      </c>
      <c r="C19" s="41" t="n"/>
      <c r="D19" s="41" t="n"/>
      <c r="E19" s="41" t="n"/>
      <c r="F19" s="42">
        <f>IFERROR(VLOOKUP(D19, 'المواد والأسعار'!$A$2:$B$20, 2, FALSE), 0)</f>
        <v/>
      </c>
      <c r="G19" s="42">
        <f>IF(E19&gt;0, E19*F19, 0)</f>
        <v/>
      </c>
      <c r="H19" s="41" t="n"/>
      <c r="I19" s="42">
        <f>IFERROR(SUMIFS('تارجت المحافظات'!$D$2:$D$50, 'تارجت المحافظات'!$C$2:$C$50, B19, 'تارجت المحافظات'!$B$2:$B$50, MONTH(H19)), 35000000)</f>
        <v/>
      </c>
      <c r="J19" s="43">
        <f>IF(I19&gt;0, G19/I19, 0)</f>
        <v/>
      </c>
    </row>
    <row r="20" ht="22" customHeight="1">
      <c r="A20" s="38" t="n"/>
      <c r="B20" s="38" t="inlineStr">
        <is>
          <t>البصرة</t>
        </is>
      </c>
      <c r="C20" s="38" t="n"/>
      <c r="D20" s="38" t="n"/>
      <c r="E20" s="38" t="n"/>
      <c r="F20" s="39">
        <f>IFERROR(VLOOKUP(D20, 'المواد والأسعار'!$A$2:$B$20, 2, FALSE), 0)</f>
        <v/>
      </c>
      <c r="G20" s="39">
        <f>IF(E20&gt;0, E20*F20, 0)</f>
        <v/>
      </c>
      <c r="H20" s="38" t="n"/>
      <c r="I20" s="39">
        <f>IFERROR(SUMIFS('تارجت المحافظات'!$D$2:$D$50, 'تارجت المحافظات'!$C$2:$C$50, B20, 'تارجت المحافظات'!$B$2:$B$50, MONTH(H20)), 35000000)</f>
        <v/>
      </c>
      <c r="J20" s="40">
        <f>IF(I20&gt;0, G20/I20, 0)</f>
        <v/>
      </c>
    </row>
    <row r="21" ht="22" customHeight="1">
      <c r="A21" s="41" t="n"/>
      <c r="B21" s="41" t="inlineStr">
        <is>
          <t>البصرة</t>
        </is>
      </c>
      <c r="C21" s="41" t="n"/>
      <c r="D21" s="41" t="n"/>
      <c r="E21" s="41" t="n"/>
      <c r="F21" s="42">
        <f>IFERROR(VLOOKUP(D21, 'المواد والأسعار'!$A$2:$B$20, 2, FALSE), 0)</f>
        <v/>
      </c>
      <c r="G21" s="42">
        <f>IF(E21&gt;0, E21*F21, 0)</f>
        <v/>
      </c>
      <c r="H21" s="41" t="n"/>
      <c r="I21" s="42">
        <f>IFERROR(SUMIFS('تارجت المحافظات'!$D$2:$D$50, 'تارجت المحافظات'!$C$2:$C$50, B21, 'تارجت المحافظات'!$B$2:$B$50, MONTH(H21)), 35000000)</f>
        <v/>
      </c>
      <c r="J21" s="43">
        <f>IF(I21&gt;0, G21/I21, 0)</f>
        <v/>
      </c>
    </row>
    <row r="22" ht="22" customHeight="1">
      <c r="A22" s="38" t="n"/>
      <c r="B22" s="38" t="inlineStr">
        <is>
          <t>البصرة</t>
        </is>
      </c>
      <c r="C22" s="38" t="n"/>
      <c r="D22" s="38" t="n"/>
      <c r="E22" s="38" t="n"/>
      <c r="F22" s="39">
        <f>IFERROR(VLOOKUP(D22, 'المواد والأسعار'!$A$2:$B$20, 2, FALSE), 0)</f>
        <v/>
      </c>
      <c r="G22" s="39">
        <f>IF(E22&gt;0, E22*F22, 0)</f>
        <v/>
      </c>
      <c r="H22" s="38" t="n"/>
      <c r="I22" s="39">
        <f>IFERROR(SUMIFS('تارجت المحافظات'!$D$2:$D$50, 'تارجت المحافظات'!$C$2:$C$50, B22, 'تارجت المحافظات'!$B$2:$B$50, MONTH(H22)), 35000000)</f>
        <v/>
      </c>
      <c r="J22" s="40">
        <f>IF(I22&gt;0, G22/I22, 0)</f>
        <v/>
      </c>
    </row>
    <row r="23" ht="22" customHeight="1">
      <c r="A23" s="41" t="n"/>
      <c r="B23" s="41" t="inlineStr">
        <is>
          <t>البصرة</t>
        </is>
      </c>
      <c r="C23" s="41" t="n"/>
      <c r="D23" s="41" t="n"/>
      <c r="E23" s="41" t="n"/>
      <c r="F23" s="42">
        <f>IFERROR(VLOOKUP(D23, 'المواد والأسعار'!$A$2:$B$20, 2, FALSE), 0)</f>
        <v/>
      </c>
      <c r="G23" s="42">
        <f>IF(E23&gt;0, E23*F23, 0)</f>
        <v/>
      </c>
      <c r="H23" s="41" t="n"/>
      <c r="I23" s="42">
        <f>IFERROR(SUMIFS('تارجت المحافظات'!$D$2:$D$50, 'تارجت المحافظات'!$C$2:$C$50, B23, 'تارجت المحافظات'!$B$2:$B$50, MONTH(H23)), 35000000)</f>
        <v/>
      </c>
      <c r="J23" s="43">
        <f>IF(I23&gt;0, G23/I23, 0)</f>
        <v/>
      </c>
    </row>
    <row r="24" ht="22" customHeight="1">
      <c r="A24" s="38" t="n"/>
      <c r="B24" s="38" t="inlineStr">
        <is>
          <t>البصرة</t>
        </is>
      </c>
      <c r="C24" s="38" t="n"/>
      <c r="D24" s="38" t="n"/>
      <c r="E24" s="38" t="n"/>
      <c r="F24" s="39">
        <f>IFERROR(VLOOKUP(D24, 'المواد والأسعار'!$A$2:$B$20, 2, FALSE), 0)</f>
        <v/>
      </c>
      <c r="G24" s="39">
        <f>IF(E24&gt;0, E24*F24, 0)</f>
        <v/>
      </c>
      <c r="H24" s="38" t="n"/>
      <c r="I24" s="39">
        <f>IFERROR(SUMIFS('تارجت المحافظات'!$D$2:$D$50, 'تارجت المحافظات'!$C$2:$C$50, B24, 'تارجت المحافظات'!$B$2:$B$50, MONTH(H24)), 35000000)</f>
        <v/>
      </c>
      <c r="J24" s="40">
        <f>IF(I24&gt;0, G24/I24, 0)</f>
        <v/>
      </c>
    </row>
    <row r="25" ht="26" customHeight="1">
      <c r="A25" s="14" t="inlineStr">
        <is>
          <t>الإجمالي العام للمحافظة</t>
        </is>
      </c>
      <c r="B25" s="15" t="n"/>
      <c r="C25" s="15" t="n"/>
      <c r="D25" s="15" t="n"/>
      <c r="E25" s="44">
        <f>SUM(E5:E24)</f>
        <v/>
      </c>
      <c r="F25" s="15" t="n"/>
      <c r="G25" s="45">
        <f>SUM(G5:G24)</f>
        <v/>
      </c>
      <c r="H25" s="15" t="n"/>
      <c r="I25" s="46">
        <f>MAX(I5:I24)</f>
        <v/>
      </c>
      <c r="J25" s="47">
        <f>IF(I25&gt;0, G25/I25, 0)</f>
        <v/>
      </c>
    </row>
  </sheetData>
  <mergeCells count="3">
    <mergeCell ref="A1:C1"/>
    <mergeCell ref="A25:D25"/>
    <mergeCell ref="A2:C2"/>
  </mergeCells>
  <dataValidations count="3">
    <dataValidation sqref="A5:A100" showDropDown="0" showInputMessage="0" showErrorMessage="0" allowBlank="1" type="list">
      <formula1>"مذخر البصرة مباشر,1-Basra,2-Basra,3-Basra,4-Basra,5-Basra,6-Basra,7-Basra"</formula1>
    </dataValidation>
    <dataValidation sqref="C5:C100" showDropDown="0" showInputMessage="0" showErrorMessage="0" allowBlank="1" type="list">
      <formula1>"LDP,MEDREICH"</formula1>
    </dataValidation>
    <dataValidation sqref="D5:D100" showDropDown="0" showInputMessage="0" showErrorMessage="0" allowBlank="1" type="list">
      <formula1>'المواد والأسعار'!$A$2:$A$17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17" customWidth="1" min="5" max="5"/>
    <col width="23" customWidth="1" min="6" max="6"/>
    <col width="18" customWidth="1" min="7" max="7"/>
    <col width="15" customWidth="1" min="8" max="8"/>
    <col width="19" customWidth="1" min="9" max="9"/>
    <col width="17" customWidth="1" min="10" max="10"/>
  </cols>
  <sheetData>
    <row r="1">
      <c r="A1" s="27" t="inlineStr">
        <is>
          <t>سجل مبيعات ومندوبي محافظة الناصرية</t>
        </is>
      </c>
      <c r="D1" s="28" t="inlineStr">
        <is>
          <t>إجمالي المبيعات</t>
        </is>
      </c>
      <c r="E1" s="28" t="inlineStr">
        <is>
          <t>إجمالي القطع</t>
        </is>
      </c>
      <c r="F1" s="29" t="inlineStr">
        <is>
          <t>نسبة تحقيق التارجت</t>
        </is>
      </c>
    </row>
    <row r="2">
      <c r="A2" s="30" t="inlineStr">
        <is>
          <t>الهدف المالي الشهري: 22,000,000 د.ع</t>
        </is>
      </c>
      <c r="D2" s="31">
        <f>SUM(G5:G100)</f>
        <v/>
      </c>
      <c r="E2" s="32">
        <f>SUM(E5:E100)</f>
        <v/>
      </c>
      <c r="F2" s="33">
        <f>IF(I5&gt;0, D2/I5, D2/22000000)</f>
        <v/>
      </c>
    </row>
    <row r="3" ht="10" customHeight="1"/>
    <row r="4" ht="28" customHeight="1">
      <c r="A4" s="2" t="inlineStr">
        <is>
          <t>المندوب</t>
        </is>
      </c>
      <c r="B4" s="2" t="inlineStr">
        <is>
          <t>المحافظة</t>
        </is>
      </c>
      <c r="C4" s="2" t="inlineStr">
        <is>
          <t>الشركة</t>
        </is>
      </c>
      <c r="D4" s="2" t="inlineStr">
        <is>
          <t>المادة</t>
        </is>
      </c>
      <c r="E4" s="2" t="inlineStr">
        <is>
          <t>العدد</t>
        </is>
      </c>
      <c r="F4" s="2" t="inlineStr">
        <is>
          <t>سعر المادة</t>
        </is>
      </c>
      <c r="G4" s="2" t="inlineStr">
        <is>
          <t>اجمالي المبلغ</t>
        </is>
      </c>
      <c r="H4" s="2" t="inlineStr">
        <is>
          <t>التاريخ</t>
        </is>
      </c>
      <c r="I4" s="2" t="inlineStr">
        <is>
          <t>تاركت المحافظة</t>
        </is>
      </c>
      <c r="J4" s="2" t="inlineStr">
        <is>
          <t>نسبه الانجاز</t>
        </is>
      </c>
    </row>
    <row r="5" ht="24" customHeight="1">
      <c r="A5" s="24" t="inlineStr">
        <is>
          <t>1-Nasiriya</t>
        </is>
      </c>
      <c r="B5" s="24" t="inlineStr">
        <is>
          <t>الناصرية</t>
        </is>
      </c>
      <c r="C5" s="24" t="inlineStr">
        <is>
          <t>LDP</t>
        </is>
      </c>
      <c r="D5" s="24" t="inlineStr">
        <is>
          <t>Paracetamol</t>
        </is>
      </c>
      <c r="E5" s="23" t="n">
        <v>600</v>
      </c>
      <c r="F5" s="34">
        <f>IFERROR(VLOOKUP(D5, 'المواد والأسعار'!$A$2:$B$20, 2, FALSE), 0)</f>
        <v/>
      </c>
      <c r="G5" s="12">
        <f>E5*F5</f>
        <v/>
      </c>
      <c r="H5" s="23" t="inlineStr">
        <is>
          <t>2026-08-15</t>
        </is>
      </c>
      <c r="I5" s="34">
        <f>IFERROR(SUMIFS('تارجت المحافظات'!$D$2:$D$50, 'تارجت المحافظات'!$C$2:$C$50, B5, 'تارجت المحافظات'!$B$2:$B$50, MONTH(H5)), 22000000)</f>
        <v/>
      </c>
      <c r="J5" s="35">
        <f>IF(I5&gt;0, G5/I5, 0)</f>
        <v/>
      </c>
    </row>
    <row r="6" ht="24" customHeight="1">
      <c r="A6" s="22" t="inlineStr">
        <is>
          <t>2-Nasiriya</t>
        </is>
      </c>
      <c r="B6" s="22" t="inlineStr">
        <is>
          <t>الناصرية</t>
        </is>
      </c>
      <c r="C6" s="22" t="inlineStr">
        <is>
          <t>MEDREICH</t>
        </is>
      </c>
      <c r="D6" s="22" t="inlineStr">
        <is>
          <t>Amoxicillin</t>
        </is>
      </c>
      <c r="E6" s="21" t="n">
        <v>500</v>
      </c>
      <c r="F6" s="36">
        <f>IFERROR(VLOOKUP(D6, 'المواد والأسعار'!$A$2:$B$20, 2, FALSE), 0)</f>
        <v/>
      </c>
      <c r="G6" s="6">
        <f>E6*F6</f>
        <v/>
      </c>
      <c r="H6" s="21" t="inlineStr">
        <is>
          <t>2026-08-16</t>
        </is>
      </c>
      <c r="I6" s="36">
        <f>IFERROR(SUMIFS('تارجت المحافظات'!$D$2:$D$50, 'تارجت المحافظات'!$C$2:$C$50, B6, 'تارجت المحافظات'!$B$2:$B$50, MONTH(H6)), 22000000)</f>
        <v/>
      </c>
      <c r="J6" s="37">
        <f>IF(I6&gt;0, G6/I6, 0)</f>
        <v/>
      </c>
    </row>
    <row r="7" ht="24" customHeight="1">
      <c r="A7" s="24" t="inlineStr">
        <is>
          <t>مذخر الناصرية مباشر</t>
        </is>
      </c>
      <c r="B7" s="24" t="inlineStr">
        <is>
          <t>الناصرية</t>
        </is>
      </c>
      <c r="C7" s="24" t="inlineStr">
        <is>
          <t>LDP</t>
        </is>
      </c>
      <c r="D7" s="24" t="inlineStr">
        <is>
          <t>Diclofenac</t>
        </is>
      </c>
      <c r="E7" s="23" t="n">
        <v>1000</v>
      </c>
      <c r="F7" s="34">
        <f>IFERROR(VLOOKUP(D7, 'المواد والأسعار'!$A$2:$B$20, 2, FALSE), 0)</f>
        <v/>
      </c>
      <c r="G7" s="12">
        <f>E7*F7</f>
        <v/>
      </c>
      <c r="H7" s="23" t="inlineStr">
        <is>
          <t>2026-08-17</t>
        </is>
      </c>
      <c r="I7" s="34">
        <f>IFERROR(SUMIFS('تارجت المحافظات'!$D$2:$D$50, 'تارجت المحافظات'!$C$2:$C$50, B7, 'تارجت المحافظات'!$B$2:$B$50, MONTH(H7)), 22000000)</f>
        <v/>
      </c>
      <c r="J7" s="35">
        <f>IF(I7&gt;0, G7/I7, 0)</f>
        <v/>
      </c>
    </row>
    <row r="8" ht="24" customHeight="1">
      <c r="A8" s="22" t="inlineStr">
        <is>
          <t>3-Nasiriya</t>
        </is>
      </c>
      <c r="B8" s="22" t="inlineStr">
        <is>
          <t>الناصرية</t>
        </is>
      </c>
      <c r="C8" s="22" t="inlineStr">
        <is>
          <t>MEDREICH</t>
        </is>
      </c>
      <c r="D8" s="22" t="inlineStr">
        <is>
          <t>Pantoprazole</t>
        </is>
      </c>
      <c r="E8" s="21" t="n">
        <v>400</v>
      </c>
      <c r="F8" s="36">
        <f>IFERROR(VLOOKUP(D8, 'المواد والأسعار'!$A$2:$B$20, 2, FALSE), 0)</f>
        <v/>
      </c>
      <c r="G8" s="6">
        <f>E8*F8</f>
        <v/>
      </c>
      <c r="H8" s="21" t="inlineStr">
        <is>
          <t>2026-08-18</t>
        </is>
      </c>
      <c r="I8" s="36">
        <f>IFERROR(SUMIFS('تارجت المحافظات'!$D$2:$D$50, 'تارجت المحافظات'!$C$2:$C$50, B8, 'تارجت المحافظات'!$B$2:$B$50, MONTH(H8)), 22000000)</f>
        <v/>
      </c>
      <c r="J8" s="37">
        <f>IF(I8&gt;0, G8/I8, 0)</f>
        <v/>
      </c>
    </row>
    <row r="9" ht="22" customHeight="1">
      <c r="A9" s="41" t="n"/>
      <c r="B9" s="41" t="inlineStr">
        <is>
          <t>الناصرية</t>
        </is>
      </c>
      <c r="C9" s="41" t="n"/>
      <c r="D9" s="41" t="n"/>
      <c r="E9" s="41" t="n"/>
      <c r="F9" s="42">
        <f>IFERROR(VLOOKUP(D9, 'المواد والأسعار'!$A$2:$B$20, 2, FALSE), 0)</f>
        <v/>
      </c>
      <c r="G9" s="42">
        <f>IF(E9&gt;0, E9*F9, 0)</f>
        <v/>
      </c>
      <c r="H9" s="41" t="n"/>
      <c r="I9" s="42">
        <f>IFERROR(SUMIFS('تارجت المحافظات'!$D$2:$D$50, 'تارجت المحافظات'!$C$2:$C$50, B9, 'تارجت المحافظات'!$B$2:$B$50, MONTH(H9)), 22000000)</f>
        <v/>
      </c>
      <c r="J9" s="43">
        <f>IF(I9&gt;0, G9/I9, 0)</f>
        <v/>
      </c>
    </row>
    <row r="10" ht="22" customHeight="1">
      <c r="A10" s="38" t="n"/>
      <c r="B10" s="38" t="inlineStr">
        <is>
          <t>الناصرية</t>
        </is>
      </c>
      <c r="C10" s="38" t="n"/>
      <c r="D10" s="38" t="n"/>
      <c r="E10" s="38" t="n"/>
      <c r="F10" s="39">
        <f>IFERROR(VLOOKUP(D10, 'المواد والأسعار'!$A$2:$B$20, 2, FALSE), 0)</f>
        <v/>
      </c>
      <c r="G10" s="39">
        <f>IF(E10&gt;0, E10*F10, 0)</f>
        <v/>
      </c>
      <c r="H10" s="38" t="n"/>
      <c r="I10" s="39">
        <f>IFERROR(SUMIFS('تارجت المحافظات'!$D$2:$D$50, 'تارجت المحافظات'!$C$2:$C$50, B10, 'تارجت المحافظات'!$B$2:$B$50, MONTH(H10)), 22000000)</f>
        <v/>
      </c>
      <c r="J10" s="40">
        <f>IF(I10&gt;0, G10/I10, 0)</f>
        <v/>
      </c>
    </row>
    <row r="11" ht="22" customHeight="1">
      <c r="A11" s="41" t="n"/>
      <c r="B11" s="41" t="inlineStr">
        <is>
          <t>الناصرية</t>
        </is>
      </c>
      <c r="C11" s="41" t="n"/>
      <c r="D11" s="41" t="n"/>
      <c r="E11" s="41" t="n"/>
      <c r="F11" s="42">
        <f>IFERROR(VLOOKUP(D11, 'المواد والأسعار'!$A$2:$B$20, 2, FALSE), 0)</f>
        <v/>
      </c>
      <c r="G11" s="42">
        <f>IF(E11&gt;0, E11*F11, 0)</f>
        <v/>
      </c>
      <c r="H11" s="41" t="n"/>
      <c r="I11" s="42">
        <f>IFERROR(SUMIFS('تارجت المحافظات'!$D$2:$D$50, 'تارجت المحافظات'!$C$2:$C$50, B11, 'تارجت المحافظات'!$B$2:$B$50, MONTH(H11)), 22000000)</f>
        <v/>
      </c>
      <c r="J11" s="43">
        <f>IF(I11&gt;0, G11/I11, 0)</f>
        <v/>
      </c>
    </row>
    <row r="12" ht="22" customHeight="1">
      <c r="A12" s="38" t="n"/>
      <c r="B12" s="38" t="inlineStr">
        <is>
          <t>الناصرية</t>
        </is>
      </c>
      <c r="C12" s="38" t="n"/>
      <c r="D12" s="38" t="n"/>
      <c r="E12" s="38" t="n"/>
      <c r="F12" s="39">
        <f>IFERROR(VLOOKUP(D12, 'المواد والأسعار'!$A$2:$B$20, 2, FALSE), 0)</f>
        <v/>
      </c>
      <c r="G12" s="39">
        <f>IF(E12&gt;0, E12*F12, 0)</f>
        <v/>
      </c>
      <c r="H12" s="38" t="n"/>
      <c r="I12" s="39">
        <f>IFERROR(SUMIFS('تارجت المحافظات'!$D$2:$D$50, 'تارجت المحافظات'!$C$2:$C$50, B12, 'تارجت المحافظات'!$B$2:$B$50, MONTH(H12)), 22000000)</f>
        <v/>
      </c>
      <c r="J12" s="40">
        <f>IF(I12&gt;0, G12/I12, 0)</f>
        <v/>
      </c>
    </row>
    <row r="13" ht="22" customHeight="1">
      <c r="A13" s="41" t="n"/>
      <c r="B13" s="41" t="inlineStr">
        <is>
          <t>الناصرية</t>
        </is>
      </c>
      <c r="C13" s="41" t="n"/>
      <c r="D13" s="41" t="n"/>
      <c r="E13" s="41" t="n"/>
      <c r="F13" s="42">
        <f>IFERROR(VLOOKUP(D13, 'المواد والأسعار'!$A$2:$B$20, 2, FALSE), 0)</f>
        <v/>
      </c>
      <c r="G13" s="42">
        <f>IF(E13&gt;0, E13*F13, 0)</f>
        <v/>
      </c>
      <c r="H13" s="41" t="n"/>
      <c r="I13" s="42">
        <f>IFERROR(SUMIFS('تارجت المحافظات'!$D$2:$D$50, 'تارجت المحافظات'!$C$2:$C$50, B13, 'تارجت المحافظات'!$B$2:$B$50, MONTH(H13)), 22000000)</f>
        <v/>
      </c>
      <c r="J13" s="43">
        <f>IF(I13&gt;0, G13/I13, 0)</f>
        <v/>
      </c>
    </row>
    <row r="14" ht="22" customHeight="1">
      <c r="A14" s="38" t="n"/>
      <c r="B14" s="38" t="inlineStr">
        <is>
          <t>الناصرية</t>
        </is>
      </c>
      <c r="C14" s="38" t="n"/>
      <c r="D14" s="38" t="n"/>
      <c r="E14" s="38" t="n"/>
      <c r="F14" s="39">
        <f>IFERROR(VLOOKUP(D14, 'المواد والأسعار'!$A$2:$B$20, 2, FALSE), 0)</f>
        <v/>
      </c>
      <c r="G14" s="39">
        <f>IF(E14&gt;0, E14*F14, 0)</f>
        <v/>
      </c>
      <c r="H14" s="38" t="n"/>
      <c r="I14" s="39">
        <f>IFERROR(SUMIFS('تارجت المحافظات'!$D$2:$D$50, 'تارجت المحافظات'!$C$2:$C$50, B14, 'تارجت المحافظات'!$B$2:$B$50, MONTH(H14)), 22000000)</f>
        <v/>
      </c>
      <c r="J14" s="40">
        <f>IF(I14&gt;0, G14/I14, 0)</f>
        <v/>
      </c>
    </row>
    <row r="15" ht="22" customHeight="1">
      <c r="A15" s="41" t="n"/>
      <c r="B15" s="41" t="inlineStr">
        <is>
          <t>الناصرية</t>
        </is>
      </c>
      <c r="C15" s="41" t="n"/>
      <c r="D15" s="41" t="n"/>
      <c r="E15" s="41" t="n"/>
      <c r="F15" s="42">
        <f>IFERROR(VLOOKUP(D15, 'المواد والأسعار'!$A$2:$B$20, 2, FALSE), 0)</f>
        <v/>
      </c>
      <c r="G15" s="42">
        <f>IF(E15&gt;0, E15*F15, 0)</f>
        <v/>
      </c>
      <c r="H15" s="41" t="n"/>
      <c r="I15" s="42">
        <f>IFERROR(SUMIFS('تارجت المحافظات'!$D$2:$D$50, 'تارجت المحافظات'!$C$2:$C$50, B15, 'تارجت المحافظات'!$B$2:$B$50, MONTH(H15)), 22000000)</f>
        <v/>
      </c>
      <c r="J15" s="43">
        <f>IF(I15&gt;0, G15/I15, 0)</f>
        <v/>
      </c>
    </row>
    <row r="16" ht="22" customHeight="1">
      <c r="A16" s="38" t="n"/>
      <c r="B16" s="38" t="inlineStr">
        <is>
          <t>الناصرية</t>
        </is>
      </c>
      <c r="C16" s="38" t="n"/>
      <c r="D16" s="38" t="n"/>
      <c r="E16" s="38" t="n"/>
      <c r="F16" s="39">
        <f>IFERROR(VLOOKUP(D16, 'المواد والأسعار'!$A$2:$B$20, 2, FALSE), 0)</f>
        <v/>
      </c>
      <c r="G16" s="39">
        <f>IF(E16&gt;0, E16*F16, 0)</f>
        <v/>
      </c>
      <c r="H16" s="38" t="n"/>
      <c r="I16" s="39">
        <f>IFERROR(SUMIFS('تارجت المحافظات'!$D$2:$D$50, 'تارجت المحافظات'!$C$2:$C$50, B16, 'تارجت المحافظات'!$B$2:$B$50, MONTH(H16)), 22000000)</f>
        <v/>
      </c>
      <c r="J16" s="40">
        <f>IF(I16&gt;0, G16/I16, 0)</f>
        <v/>
      </c>
    </row>
    <row r="17" ht="22" customHeight="1">
      <c r="A17" s="41" t="n"/>
      <c r="B17" s="41" t="inlineStr">
        <is>
          <t>الناصرية</t>
        </is>
      </c>
      <c r="C17" s="41" t="n"/>
      <c r="D17" s="41" t="n"/>
      <c r="E17" s="41" t="n"/>
      <c r="F17" s="42">
        <f>IFERROR(VLOOKUP(D17, 'المواد والأسعار'!$A$2:$B$20, 2, FALSE), 0)</f>
        <v/>
      </c>
      <c r="G17" s="42">
        <f>IF(E17&gt;0, E17*F17, 0)</f>
        <v/>
      </c>
      <c r="H17" s="41" t="n"/>
      <c r="I17" s="42">
        <f>IFERROR(SUMIFS('تارجت المحافظات'!$D$2:$D$50, 'تارجت المحافظات'!$C$2:$C$50, B17, 'تارجت المحافظات'!$B$2:$B$50, MONTH(H17)), 22000000)</f>
        <v/>
      </c>
      <c r="J17" s="43">
        <f>IF(I17&gt;0, G17/I17, 0)</f>
        <v/>
      </c>
    </row>
    <row r="18" ht="22" customHeight="1">
      <c r="A18" s="38" t="n"/>
      <c r="B18" s="38" t="inlineStr">
        <is>
          <t>الناصرية</t>
        </is>
      </c>
      <c r="C18" s="38" t="n"/>
      <c r="D18" s="38" t="n"/>
      <c r="E18" s="38" t="n"/>
      <c r="F18" s="39">
        <f>IFERROR(VLOOKUP(D18, 'المواد والأسعار'!$A$2:$B$20, 2, FALSE), 0)</f>
        <v/>
      </c>
      <c r="G18" s="39">
        <f>IF(E18&gt;0, E18*F18, 0)</f>
        <v/>
      </c>
      <c r="H18" s="38" t="n"/>
      <c r="I18" s="39">
        <f>IFERROR(SUMIFS('تارجت المحافظات'!$D$2:$D$50, 'تارجت المحافظات'!$C$2:$C$50, B18, 'تارجت المحافظات'!$B$2:$B$50, MONTH(H18)), 22000000)</f>
        <v/>
      </c>
      <c r="J18" s="40">
        <f>IF(I18&gt;0, G18/I18, 0)</f>
        <v/>
      </c>
    </row>
    <row r="19" ht="22" customHeight="1">
      <c r="A19" s="41" t="n"/>
      <c r="B19" s="41" t="inlineStr">
        <is>
          <t>الناصرية</t>
        </is>
      </c>
      <c r="C19" s="41" t="n"/>
      <c r="D19" s="41" t="n"/>
      <c r="E19" s="41" t="n"/>
      <c r="F19" s="42">
        <f>IFERROR(VLOOKUP(D19, 'المواد والأسعار'!$A$2:$B$20, 2, FALSE), 0)</f>
        <v/>
      </c>
      <c r="G19" s="42">
        <f>IF(E19&gt;0, E19*F19, 0)</f>
        <v/>
      </c>
      <c r="H19" s="41" t="n"/>
      <c r="I19" s="42">
        <f>IFERROR(SUMIFS('تارجت المحافظات'!$D$2:$D$50, 'تارجت المحافظات'!$C$2:$C$50, B19, 'تارجت المحافظات'!$B$2:$B$50, MONTH(H19)), 22000000)</f>
        <v/>
      </c>
      <c r="J19" s="43">
        <f>IF(I19&gt;0, G19/I19, 0)</f>
        <v/>
      </c>
    </row>
    <row r="20" ht="22" customHeight="1">
      <c r="A20" s="38" t="n"/>
      <c r="B20" s="38" t="inlineStr">
        <is>
          <t>الناصرية</t>
        </is>
      </c>
      <c r="C20" s="38" t="n"/>
      <c r="D20" s="38" t="n"/>
      <c r="E20" s="38" t="n"/>
      <c r="F20" s="39">
        <f>IFERROR(VLOOKUP(D20, 'المواد والأسعار'!$A$2:$B$20, 2, FALSE), 0)</f>
        <v/>
      </c>
      <c r="G20" s="39">
        <f>IF(E20&gt;0, E20*F20, 0)</f>
        <v/>
      </c>
      <c r="H20" s="38" t="n"/>
      <c r="I20" s="39">
        <f>IFERROR(SUMIFS('تارجت المحافظات'!$D$2:$D$50, 'تارجت المحافظات'!$C$2:$C$50, B20, 'تارجت المحافظات'!$B$2:$B$50, MONTH(H20)), 22000000)</f>
        <v/>
      </c>
      <c r="J20" s="40">
        <f>IF(I20&gt;0, G20/I20, 0)</f>
        <v/>
      </c>
    </row>
    <row r="21" ht="22" customHeight="1">
      <c r="A21" s="41" t="n"/>
      <c r="B21" s="41" t="inlineStr">
        <is>
          <t>الناصرية</t>
        </is>
      </c>
      <c r="C21" s="41" t="n"/>
      <c r="D21" s="41" t="n"/>
      <c r="E21" s="41" t="n"/>
      <c r="F21" s="42">
        <f>IFERROR(VLOOKUP(D21, 'المواد والأسعار'!$A$2:$B$20, 2, FALSE), 0)</f>
        <v/>
      </c>
      <c r="G21" s="42">
        <f>IF(E21&gt;0, E21*F21, 0)</f>
        <v/>
      </c>
      <c r="H21" s="41" t="n"/>
      <c r="I21" s="42">
        <f>IFERROR(SUMIFS('تارجت المحافظات'!$D$2:$D$50, 'تارجت المحافظات'!$C$2:$C$50, B21, 'تارجت المحافظات'!$B$2:$B$50, MONTH(H21)), 22000000)</f>
        <v/>
      </c>
      <c r="J21" s="43">
        <f>IF(I21&gt;0, G21/I21, 0)</f>
        <v/>
      </c>
    </row>
    <row r="22" ht="22" customHeight="1">
      <c r="A22" s="38" t="n"/>
      <c r="B22" s="38" t="inlineStr">
        <is>
          <t>الناصرية</t>
        </is>
      </c>
      <c r="C22" s="38" t="n"/>
      <c r="D22" s="38" t="n"/>
      <c r="E22" s="38" t="n"/>
      <c r="F22" s="39">
        <f>IFERROR(VLOOKUP(D22, 'المواد والأسعار'!$A$2:$B$20, 2, FALSE), 0)</f>
        <v/>
      </c>
      <c r="G22" s="39">
        <f>IF(E22&gt;0, E22*F22, 0)</f>
        <v/>
      </c>
      <c r="H22" s="38" t="n"/>
      <c r="I22" s="39">
        <f>IFERROR(SUMIFS('تارجت المحافظات'!$D$2:$D$50, 'تارجت المحافظات'!$C$2:$C$50, B22, 'تارجت المحافظات'!$B$2:$B$50, MONTH(H22)), 22000000)</f>
        <v/>
      </c>
      <c r="J22" s="40">
        <f>IF(I22&gt;0, G22/I22, 0)</f>
        <v/>
      </c>
    </row>
    <row r="23" ht="22" customHeight="1">
      <c r="A23" s="41" t="n"/>
      <c r="B23" s="41" t="inlineStr">
        <is>
          <t>الناصرية</t>
        </is>
      </c>
      <c r="C23" s="41" t="n"/>
      <c r="D23" s="41" t="n"/>
      <c r="E23" s="41" t="n"/>
      <c r="F23" s="42">
        <f>IFERROR(VLOOKUP(D23, 'المواد والأسعار'!$A$2:$B$20, 2, FALSE), 0)</f>
        <v/>
      </c>
      <c r="G23" s="42">
        <f>IF(E23&gt;0, E23*F23, 0)</f>
        <v/>
      </c>
      <c r="H23" s="41" t="n"/>
      <c r="I23" s="42">
        <f>IFERROR(SUMIFS('تارجت المحافظات'!$D$2:$D$50, 'تارجت المحافظات'!$C$2:$C$50, B23, 'تارجت المحافظات'!$B$2:$B$50, MONTH(H23)), 22000000)</f>
        <v/>
      </c>
      <c r="J23" s="43">
        <f>IF(I23&gt;0, G23/I23, 0)</f>
        <v/>
      </c>
    </row>
    <row r="24" ht="26" customHeight="1">
      <c r="A24" s="14" t="inlineStr">
        <is>
          <t>الإجمالي العام للمحافظة</t>
        </is>
      </c>
      <c r="B24" s="15" t="n"/>
      <c r="C24" s="15" t="n"/>
      <c r="D24" s="15" t="n"/>
      <c r="E24" s="44">
        <f>SUM(E5:E23)</f>
        <v/>
      </c>
      <c r="F24" s="15" t="n"/>
      <c r="G24" s="45">
        <f>SUM(G5:G23)</f>
        <v/>
      </c>
      <c r="H24" s="15" t="n"/>
      <c r="I24" s="46">
        <f>MAX(I5:I23)</f>
        <v/>
      </c>
      <c r="J24" s="47">
        <f>IF(I24&gt;0, G24/I24, 0)</f>
        <v/>
      </c>
    </row>
  </sheetData>
  <mergeCells count="3">
    <mergeCell ref="A1:C1"/>
    <mergeCell ref="A24:D24"/>
    <mergeCell ref="A2:C2"/>
  </mergeCells>
  <dataValidations count="3">
    <dataValidation sqref="A5:A100" showDropDown="0" showInputMessage="0" showErrorMessage="0" allowBlank="1" type="list">
      <formula1>"مذخر الناصرية مباشر,1-Nasiriya,2-Nasiriya,3-Nasiriya,4-Nasiriya,5-Nasiriya,6-Nasiriya,7-Nasiriya"</formula1>
    </dataValidation>
    <dataValidation sqref="C5:C100" showDropDown="0" showInputMessage="0" showErrorMessage="0" allowBlank="1" type="list">
      <formula1>"LDP,MEDREICH"</formula1>
    </dataValidation>
    <dataValidation sqref="D5:D100" showDropDown="0" showInputMessage="0" showErrorMessage="0" allowBlank="1" type="list">
      <formula1>'المواد والأسعار'!$A$2:$A$17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2026-08-28T04:00:12Z</dcterms:created>
  <dcterms:modified xsi:type="dcterms:W3CDTF">2026-08-28T04:00:12Z</dcterms:modified>
</cp:coreProperties>
</file>